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VT" sheetId="1" r:id="rId5"/>
    <sheet state="hidden" name="Sheet7" sheetId="2" r:id="rId6"/>
    <sheet state="visible" name="Dropped VT" sheetId="3" r:id="rId7"/>
    <sheet state="visible" name="Rejected VT " sheetId="4" r:id="rId8"/>
    <sheet state="visible" name="Newly Registered VT " sheetId="5" r:id="rId9"/>
  </sheets>
  <definedNames>
    <definedName hidden="1" localSheetId="0" name="_xlnm._FilterDatabase">'Active VT'!$A$1:$AO$223</definedName>
    <definedName hidden="1" localSheetId="1" name="_xlnm._FilterDatabase">Sheet7!$G$2:$K$225</definedName>
  </definedNames>
  <calcPr/>
</workbook>
</file>

<file path=xl/sharedStrings.xml><?xml version="1.0" encoding="utf-8"?>
<sst xmlns="http://schemas.openxmlformats.org/spreadsheetml/2006/main" count="7976" uniqueCount="1981">
  <si>
    <t>Academic Year</t>
  </si>
  <si>
    <t>Offering ID</t>
  </si>
  <si>
    <t>Offering Start</t>
  </si>
  <si>
    <t>Offering End</t>
  </si>
  <si>
    <t>Offering Status</t>
  </si>
  <si>
    <t>Volunteer ID</t>
  </si>
  <si>
    <t>Volunteer Name</t>
  </si>
  <si>
    <t>Email</t>
  </si>
  <si>
    <t>Phone</t>
  </si>
  <si>
    <t>EV Joined Date</t>
  </si>
  <si>
    <t>Reference</t>
  </si>
  <si>
    <t>Volunteer City</t>
  </si>
  <si>
    <t>Volunteer State</t>
  </si>
  <si>
    <t>Volunteer Country</t>
  </si>
  <si>
    <t>Profession</t>
  </si>
  <si>
    <t>First Session</t>
  </si>
  <si>
    <t>Latest Session</t>
  </si>
  <si>
    <t>Center ID</t>
  </si>
  <si>
    <t>Center Name</t>
  </si>
  <si>
    <t>Center State</t>
  </si>
  <si>
    <t>District</t>
  </si>
  <si>
    <t>Donor</t>
  </si>
  <si>
    <t>Sub Project</t>
  </si>
  <si>
    <t>Language</t>
  </si>
  <si>
    <t>Board</t>
  </si>
  <si>
    <t>Grade</t>
  </si>
  <si>
    <t>Subject</t>
  </si>
  <si>
    <t>Registered</t>
  </si>
  <si>
    <t>Reg Boys</t>
  </si>
  <si>
    <t>Reg Girls</t>
  </si>
  <si>
    <t>Enrolled</t>
  </si>
  <si>
    <t>En Boys</t>
  </si>
  <si>
    <t>En Girls</t>
  </si>
  <si>
    <t>Planned</t>
  </si>
  <si>
    <t>Scheduled</t>
  </si>
  <si>
    <t>Completed</t>
  </si>
  <si>
    <t>Offline</t>
  </si>
  <si>
    <t>Cancelled</t>
  </si>
  <si>
    <t>Total Hours (Comp + Offline)</t>
  </si>
  <si>
    <t>CLH</t>
  </si>
  <si>
    <t>Attendance %</t>
  </si>
  <si>
    <t>AY-26-27</t>
  </si>
  <si>
    <t>13/04/26</t>
  </si>
  <si>
    <t>30/05/26</t>
  </si>
  <si>
    <t>Running</t>
  </si>
  <si>
    <t>Aaina Narang</t>
  </si>
  <si>
    <t>aainanarang2911@gmail.com</t>
  </si>
  <si>
    <t>Internet Search</t>
  </si>
  <si>
    <t>Jalandhar</t>
  </si>
  <si>
    <t>Punjab</t>
  </si>
  <si>
    <t>India</t>
  </si>
  <si>
    <t>corporates</t>
  </si>
  <si>
    <t>21/05/26</t>
  </si>
  <si>
    <t>KGBV Atraulia</t>
  </si>
  <si>
    <t>Uttar Pradesh</t>
  </si>
  <si>
    <t>AZAMGARH</t>
  </si>
  <si>
    <t>EY GDS</t>
  </si>
  <si>
    <t>DCP</t>
  </si>
  <si>
    <t>Hindi</t>
  </si>
  <si>
    <t>eVidyaloka</t>
  </si>
  <si>
    <t>Guest Sessions</t>
  </si>
  <si>
    <t>Aaradhy Bhavsar</t>
  </si>
  <si>
    <t>aaradhybhavsar28@gmail.com</t>
  </si>
  <si>
    <t>Aurangabad</t>
  </si>
  <si>
    <t>Maharashtra</t>
  </si>
  <si>
    <t>student_ug</t>
  </si>
  <si>
    <t>23/05/26</t>
  </si>
  <si>
    <t>KGBV Banagram Nichlaul</t>
  </si>
  <si>
    <t>MAHARAJGANJ</t>
  </si>
  <si>
    <t>Microsoft - EmpowerED</t>
  </si>
  <si>
    <t>Empowered Ed</t>
  </si>
  <si>
    <t>Aashish Subedi</t>
  </si>
  <si>
    <t>aasubedi108@gmail.com</t>
  </si>
  <si>
    <t>Kathmandu</t>
  </si>
  <si>
    <t>Bagmati</t>
  </si>
  <si>
    <t>Nepal</t>
  </si>
  <si>
    <t>student_pg</t>
  </si>
  <si>
    <t>28/05/26</t>
  </si>
  <si>
    <t>KGBV Barhani</t>
  </si>
  <si>
    <t>SIDDHARTHNAGAR</t>
  </si>
  <si>
    <t>Concise content 1</t>
  </si>
  <si>
    <t>31/12/26</t>
  </si>
  <si>
    <t>Aayushi Trivedi</t>
  </si>
  <si>
    <t>aayutrivedi13@gmail.com</t>
  </si>
  <si>
    <t>Mumbai</t>
  </si>
  <si>
    <t>25/05/26</t>
  </si>
  <si>
    <t>GMS Jallian</t>
  </si>
  <si>
    <t>Jammu¬†And¬†Kashmir</t>
  </si>
  <si>
    <t>PUNCH</t>
  </si>
  <si>
    <t>Indian Army</t>
  </si>
  <si>
    <t>Conceptual Learning - Math</t>
  </si>
  <si>
    <t>31/03/27</t>
  </si>
  <si>
    <t>Abhay Dwivedi</t>
  </si>
  <si>
    <t>abhay.dwivedi@solytics-partners.com</t>
  </si>
  <si>
    <t>Pune</t>
  </si>
  <si>
    <t>20/05/26</t>
  </si>
  <si>
    <t>KGBV Koilsa</t>
  </si>
  <si>
    <t>Abhigna Kudumula</t>
  </si>
  <si>
    <t>abhignar94@gmail.com</t>
  </si>
  <si>
    <t>Hyderabad</t>
  </si>
  <si>
    <t>Telangana</t>
  </si>
  <si>
    <t>others</t>
  </si>
  <si>
    <t>KGBV Uska Bazar</t>
  </si>
  <si>
    <t>Abhishek Chauhan</t>
  </si>
  <si>
    <t>abhi.mundane@gmail.com</t>
  </si>
  <si>
    <t>Lucknow</t>
  </si>
  <si>
    <t>26/05/26</t>
  </si>
  <si>
    <t>KGBV Milkipur</t>
  </si>
  <si>
    <t>FAIZABAD</t>
  </si>
  <si>
    <t>Aishwarya S</t>
  </si>
  <si>
    <t>aishwaryasoff@gmail.com</t>
  </si>
  <si>
    <t>Kallakkurichi</t>
  </si>
  <si>
    <t>Tamil Nadu</t>
  </si>
  <si>
    <t>KGBV Dumariyaganj</t>
  </si>
  <si>
    <t>Akshat Bansal</t>
  </si>
  <si>
    <t>bansalakshat7789@gmail.com</t>
  </si>
  <si>
    <t>Yamunanagar</t>
  </si>
  <si>
    <t>Haryana</t>
  </si>
  <si>
    <t>19/05/26</t>
  </si>
  <si>
    <t>UPS Itwa</t>
  </si>
  <si>
    <t>Retail</t>
  </si>
  <si>
    <t>Conceptual Learning Math-HM</t>
  </si>
  <si>
    <t>Akshay Dhawan</t>
  </si>
  <si>
    <t>akshaydhawan79@gmail.com</t>
  </si>
  <si>
    <t>KPMG Bangalore</t>
  </si>
  <si>
    <t>27/05/26</t>
  </si>
  <si>
    <t>KGBV Brijmanganj</t>
  </si>
  <si>
    <t>15/04/26</t>
  </si>
  <si>
    <t>31/05/26</t>
  </si>
  <si>
    <t>Alka Sathua</t>
  </si>
  <si>
    <t>alkasathua7@gmail.com</t>
  </si>
  <si>
    <t>Khurda</t>
  </si>
  <si>
    <t>Odisha</t>
  </si>
  <si>
    <t>home_makers</t>
  </si>
  <si>
    <t>UHS Nayanpur</t>
  </si>
  <si>
    <t>Jharkhand</t>
  </si>
  <si>
    <t>Giridih</t>
  </si>
  <si>
    <t>Aman Vashishth</t>
  </si>
  <si>
    <t>aman.vashishth1995@gmail.com</t>
  </si>
  <si>
    <t>New Delhi</t>
  </si>
  <si>
    <t>Delhi</t>
  </si>
  <si>
    <t>finance</t>
  </si>
  <si>
    <t>KGBV Birdpur</t>
  </si>
  <si>
    <t>Aman Verma</t>
  </si>
  <si>
    <t>iosaman503@gmail.com</t>
  </si>
  <si>
    <t>Ghaziabad</t>
  </si>
  <si>
    <t>Concise Content 1</t>
  </si>
  <si>
    <t>Amanraj Singh</t>
  </si>
  <si>
    <t>amanraj.singh.12@gmail.com</t>
  </si>
  <si>
    <t>Vadodara</t>
  </si>
  <si>
    <t>Gujarat</t>
  </si>
  <si>
    <t>15/05/26</t>
  </si>
  <si>
    <t>Conceptual Learning Science-HM</t>
  </si>
  <si>
    <t>Amit Ghante</t>
  </si>
  <si>
    <t>ghante.amit@gmail.com</t>
  </si>
  <si>
    <t>Infosys BPM Ltd</t>
  </si>
  <si>
    <t>Indore</t>
  </si>
  <si>
    <t>Madhya Pradesh</t>
  </si>
  <si>
    <t>KGBV Naugarh</t>
  </si>
  <si>
    <t>Amit Kumar</t>
  </si>
  <si>
    <t>amitkr2027@gmail.com</t>
  </si>
  <si>
    <t>Bengaluru</t>
  </si>
  <si>
    <t>Karnataka</t>
  </si>
  <si>
    <t>KGBV Deoghar - Hira</t>
  </si>
  <si>
    <t>Deoghar</t>
  </si>
  <si>
    <t>KGBV Deoghar - Moti</t>
  </si>
  <si>
    <t>Ananya Bansal</t>
  </si>
  <si>
    <t>ananyabansal2383@gmail.com</t>
  </si>
  <si>
    <t>Faridabad</t>
  </si>
  <si>
    <t>KGBV Madhupur - Hira</t>
  </si>
  <si>
    <t>Anirudh Anand</t>
  </si>
  <si>
    <t>anirudhanand06@gmail.com</t>
  </si>
  <si>
    <t>Ankita Dutta</t>
  </si>
  <si>
    <t>ankitaxdutta@gmail.com</t>
  </si>
  <si>
    <t>Kolkata</t>
  </si>
  <si>
    <t>West Bengal</t>
  </si>
  <si>
    <t>Ansh Khullar</t>
  </si>
  <si>
    <t>anshkh1as@gmail.com</t>
  </si>
  <si>
    <t>Firozpur</t>
  </si>
  <si>
    <t>KGBV Itava</t>
  </si>
  <si>
    <t>Anshika Awasthi</t>
  </si>
  <si>
    <t>anshikaawasthi0112@gmail.com</t>
  </si>
  <si>
    <t>Unnao</t>
  </si>
  <si>
    <t>business/self_employed</t>
  </si>
  <si>
    <t>Anubha Rawat</t>
  </si>
  <si>
    <t>anubharawat833@gmail.com</t>
  </si>
  <si>
    <t>DCP Campaign</t>
  </si>
  <si>
    <t>Champawat</t>
  </si>
  <si>
    <t>Uttarakhand</t>
  </si>
  <si>
    <t>22/05/26</t>
  </si>
  <si>
    <t>MS Nakar Kote</t>
  </si>
  <si>
    <t>Jammu¬†and¬†Kashmir</t>
  </si>
  <si>
    <t>POONCH</t>
  </si>
  <si>
    <t>Conceptual Learning - Science</t>
  </si>
  <si>
    <t>Archana Sharma</t>
  </si>
  <si>
    <t>a03111809@gmail.com</t>
  </si>
  <si>
    <t>Joy of Reading</t>
  </si>
  <si>
    <t>Housewife</t>
  </si>
  <si>
    <t>MS Koyritola</t>
  </si>
  <si>
    <t>Archita Pathak</t>
  </si>
  <si>
    <t>barhani.eclassroom.1@evidyaloka.org</t>
  </si>
  <si>
    <t>Swabhiman samiti</t>
  </si>
  <si>
    <t>Siddharthnagar</t>
  </si>
  <si>
    <t>Aryan Chaudhary</t>
  </si>
  <si>
    <t>aryan27oct99@gmail.com</t>
  </si>
  <si>
    <t>KGBV Ghughali</t>
  </si>
  <si>
    <t>Ashok Jain</t>
  </si>
  <si>
    <t>ashokkumar.jain@ltts.com</t>
  </si>
  <si>
    <t>L&amp;T Technology Services</t>
  </si>
  <si>
    <t>KGBV Jogiya</t>
  </si>
  <si>
    <t>Astha Nema</t>
  </si>
  <si>
    <t>nemaastha29@gmail.com</t>
  </si>
  <si>
    <t>Jabalpur</t>
  </si>
  <si>
    <t>KGBV Gadaura</t>
  </si>
  <si>
    <t>AVANI TAYAL</t>
  </si>
  <si>
    <t>avanitayal@gmail.com</t>
  </si>
  <si>
    <t>Raipur</t>
  </si>
  <si>
    <t>Chhattisgarh</t>
  </si>
  <si>
    <t>KGBV Sarwa -Moti</t>
  </si>
  <si>
    <t>KGBV Sarwa -Hira</t>
  </si>
  <si>
    <t>Avinash Shekharf</t>
  </si>
  <si>
    <t>avinashshekhar@kpmg.com</t>
  </si>
  <si>
    <t>KGBV Siswa Bazar</t>
  </si>
  <si>
    <t>14/04/26</t>
  </si>
  <si>
    <t>AZIZUR RAHMAN</t>
  </si>
  <si>
    <t>azizurrahman063@gmail.com</t>
  </si>
  <si>
    <t>HPInc</t>
  </si>
  <si>
    <t>BhanuPratap Singh</t>
  </si>
  <si>
    <t>bhanuprataps1@kpmg.com</t>
  </si>
  <si>
    <t>top_managemenet</t>
  </si>
  <si>
    <t>KGBV Parsiya Shoratgarh</t>
  </si>
  <si>
    <t>Bhavna Keswani</t>
  </si>
  <si>
    <t>bhavna_mkeswani@hotmail.com</t>
  </si>
  <si>
    <t>Kalyan</t>
  </si>
  <si>
    <t>English</t>
  </si>
  <si>
    <t>Bhvvya Singhal</t>
  </si>
  <si>
    <t>bhvvya@gmail.com</t>
  </si>
  <si>
    <t>Vilnius</t>
  </si>
  <si>
    <t>Vilniaus</t>
  </si>
  <si>
    <t>Lithuania</t>
  </si>
  <si>
    <t>KGBV Sarath - Hira</t>
  </si>
  <si>
    <t>KGBV Sarath - Moti</t>
  </si>
  <si>
    <t>Chaitra Marakini</t>
  </si>
  <si>
    <t>chaitrasathyashankar350@gmail.com</t>
  </si>
  <si>
    <t>Backfill</t>
  </si>
  <si>
    <t>18/05/26</t>
  </si>
  <si>
    <t>KGBV Mohanpur - Moti</t>
  </si>
  <si>
    <t>Chandana Chatterjee</t>
  </si>
  <si>
    <t>chandana1904@gmail.com</t>
  </si>
  <si>
    <t>teacher_school</t>
  </si>
  <si>
    <t>KGBV Karon- Moti</t>
  </si>
  <si>
    <t>Chandani Verma</t>
  </si>
  <si>
    <t>siswa-bazar.eclassroom.1@evidyaloka.org</t>
  </si>
  <si>
    <t>Maharajganj</t>
  </si>
  <si>
    <t>Dakshita Sharma</t>
  </si>
  <si>
    <t>dakshita.sharma2@s.amity.edu</t>
  </si>
  <si>
    <t>Spoken English: Level 1</t>
  </si>
  <si>
    <t>Deep Dasgupta</t>
  </si>
  <si>
    <t>deep.dsgpt3107@gmail.com</t>
  </si>
  <si>
    <t>Deepti Pant</t>
  </si>
  <si>
    <t>deeptipant24@gmail.com</t>
  </si>
  <si>
    <t>Facebook</t>
  </si>
  <si>
    <t>Education, Training, and Library</t>
  </si>
  <si>
    <t>KGBV Bengabad - Hira</t>
  </si>
  <si>
    <t>KGBV Bengabad - Moti</t>
  </si>
  <si>
    <t>Deshna Mohanty</t>
  </si>
  <si>
    <t>deshna.mohanty@firstsource.com</t>
  </si>
  <si>
    <t>Firstsource</t>
  </si>
  <si>
    <t>DEVESH MATHUR</t>
  </si>
  <si>
    <t>mathurdevesh365@gmail.com</t>
  </si>
  <si>
    <t>Devi Shanmugam</t>
  </si>
  <si>
    <t>freelance.id.devi23@gmail.com</t>
  </si>
  <si>
    <t>Dubai</t>
  </si>
  <si>
    <t>United Arab Emirates</t>
  </si>
  <si>
    <t>retired_professional</t>
  </si>
  <si>
    <t>KGBV Kuniyaan</t>
  </si>
  <si>
    <t>Dhaksheena Dharshini</t>
  </si>
  <si>
    <t>gdhaksheenadharshini@gmail.com</t>
  </si>
  <si>
    <t>Coimbatore</t>
  </si>
  <si>
    <t>Dhanashree Shirtode</t>
  </si>
  <si>
    <t>sdhanashree18@gmail.com</t>
  </si>
  <si>
    <t>KGBV Partawal</t>
  </si>
  <si>
    <t>Dhriti Jain</t>
  </si>
  <si>
    <t>jain.dhriti14@gmail.com</t>
  </si>
  <si>
    <t>Dhruv Ganage</t>
  </si>
  <si>
    <t>dhruvganage@gmail.com</t>
  </si>
  <si>
    <t>Petaling Jaya</t>
  </si>
  <si>
    <t>Selangor</t>
  </si>
  <si>
    <t>Malaysia</t>
  </si>
  <si>
    <t>Diksha .</t>
  </si>
  <si>
    <t>diksha18@infosys.com</t>
  </si>
  <si>
    <t>Jaipur</t>
  </si>
  <si>
    <t>Rajasthan</t>
  </si>
  <si>
    <t>Disha Gupta</t>
  </si>
  <si>
    <t>almonardroyal@gmail.com</t>
  </si>
  <si>
    <t>KGBV Bansi</t>
  </si>
  <si>
    <t>Durgawati Maurya</t>
  </si>
  <si>
    <t>mithaura.eclossroom.1@evidyaloka.org</t>
  </si>
  <si>
    <t>KGBV Mithwal</t>
  </si>
  <si>
    <t>29/05/26</t>
  </si>
  <si>
    <t>KGBV Mithaura</t>
  </si>
  <si>
    <t>Firdous Fatima</t>
  </si>
  <si>
    <t>dumariyaganj.eclassroom.1@evidyaloka.org</t>
  </si>
  <si>
    <t>geetha chundi</t>
  </si>
  <si>
    <t>geethashivani74@gmail.com</t>
  </si>
  <si>
    <t>Harsrita Mishra</t>
  </si>
  <si>
    <t>harsritamishra@gmail.com</t>
  </si>
  <si>
    <t>Navi Mumbai</t>
  </si>
  <si>
    <t>Hemant Mudgal</t>
  </si>
  <si>
    <t>hemant.m0230@gmail.com</t>
  </si>
  <si>
    <t>KGBV Maharajganj Sadar</t>
  </si>
  <si>
    <t>Hemlata Lakhe</t>
  </si>
  <si>
    <t>hemlatarlakhe@gmail.com</t>
  </si>
  <si>
    <t>Himanshi Jaiswal</t>
  </si>
  <si>
    <t>jaiswalhimanshi86@gmail.com</t>
  </si>
  <si>
    <t>Dewas</t>
  </si>
  <si>
    <t>13/05/26</t>
  </si>
  <si>
    <t>JaiRaj Batra</t>
  </si>
  <si>
    <t>jairajbatra64@gmail.com</t>
  </si>
  <si>
    <t>Word of Mouth</t>
  </si>
  <si>
    <t>KGBV Ahiraula</t>
  </si>
  <si>
    <t>Jaya Ambrose</t>
  </si>
  <si>
    <t>jayambrose.ja@gmail.com</t>
  </si>
  <si>
    <t>Jaypur</t>
  </si>
  <si>
    <t>KGBV Phoolpur</t>
  </si>
  <si>
    <t>KGBV Pawai</t>
  </si>
  <si>
    <t>Jayant Garg</t>
  </si>
  <si>
    <t>gargjayant2@gmail.com</t>
  </si>
  <si>
    <t>Patiala</t>
  </si>
  <si>
    <t>Kamalika Shah</t>
  </si>
  <si>
    <t>Kamalika.shah@gmail.com</t>
  </si>
  <si>
    <t>Gurgaon</t>
  </si>
  <si>
    <t>KGBV Maya Bazar</t>
  </si>
  <si>
    <t>Kantesh Guttal</t>
  </si>
  <si>
    <t>kantesh@gmail.com</t>
  </si>
  <si>
    <t>Kartik Balaji</t>
  </si>
  <si>
    <t>kartikayushbalaji@gmail.com</t>
  </si>
  <si>
    <t>Kashish Gupta</t>
  </si>
  <si>
    <t>kashishvgupta2001@gmail.com</t>
  </si>
  <si>
    <t>Khushboo Agrawal</t>
  </si>
  <si>
    <t>khushi1505@gmail.com</t>
  </si>
  <si>
    <t>Nagpur</t>
  </si>
  <si>
    <t>KGBV Keshraha</t>
  </si>
  <si>
    <t>khyati srinivas</t>
  </si>
  <si>
    <t>khyati.srinivas@evidyaloka.org</t>
  </si>
  <si>
    <t>eVidyaloka Trust</t>
  </si>
  <si>
    <t>Krishnan C</t>
  </si>
  <si>
    <t>ckrishnan0492@gmail.com</t>
  </si>
  <si>
    <t>Pattambi</t>
  </si>
  <si>
    <t>Kerala</t>
  </si>
  <si>
    <t>Kumar Muthiah</t>
  </si>
  <si>
    <t>kumar.muthiah@gmail.com</t>
  </si>
  <si>
    <t>Management</t>
  </si>
  <si>
    <t>Kumar Rishav</t>
  </si>
  <si>
    <t>krishav51@gmail.com</t>
  </si>
  <si>
    <t>Lakshmi Agarwal</t>
  </si>
  <si>
    <t>sunilgupta355@gmail.com</t>
  </si>
  <si>
    <t>KGBV Jamua - Hira</t>
  </si>
  <si>
    <t>KGBV Jamua - Moti</t>
  </si>
  <si>
    <t>Mahima Achhpal</t>
  </si>
  <si>
    <t>mahimaachhpal@gmail.com</t>
  </si>
  <si>
    <t>Mahima Choudhary</t>
  </si>
  <si>
    <t>mahi.chaudhry244@gmail.com</t>
  </si>
  <si>
    <t>Mannat Bhardwaj</t>
  </si>
  <si>
    <t>parqxcm@gmail.com</t>
  </si>
  <si>
    <t>Jammu</t>
  </si>
  <si>
    <t>Jammu and Kashmir</t>
  </si>
  <si>
    <t>Manu Chopra</t>
  </si>
  <si>
    <t>carebymanu@gmail.com</t>
  </si>
  <si>
    <t>Reliance Foundation</t>
  </si>
  <si>
    <t>Rajpura</t>
  </si>
  <si>
    <t>Maria Bhunia</t>
  </si>
  <si>
    <t>mariabhunia.103@gmail.com</t>
  </si>
  <si>
    <t>Tamluk</t>
  </si>
  <si>
    <t>MdGulam Hassnain</t>
  </si>
  <si>
    <t>gulam.hassnain05@gmail.com</t>
  </si>
  <si>
    <t>Merlyn Pereira</t>
  </si>
  <si>
    <t>merlynpriyanka61@gmail.com</t>
  </si>
  <si>
    <t>Mini Nair</t>
  </si>
  <si>
    <t>mininair@kpmg.com</t>
  </si>
  <si>
    <t>KGBV Bhanwapur</t>
  </si>
  <si>
    <t>Mitali Batra</t>
  </si>
  <si>
    <t>batra.mitali@gmail.com</t>
  </si>
  <si>
    <t>Noida</t>
  </si>
  <si>
    <t>KGBV Tarun Bazar</t>
  </si>
  <si>
    <t>Mitali Jain</t>
  </si>
  <si>
    <t>mits.jain98@gmail.com</t>
  </si>
  <si>
    <t>Mohammad Aqdas</t>
  </si>
  <si>
    <t>mohammadaqdas212@gmail.com</t>
  </si>
  <si>
    <t>Mau</t>
  </si>
  <si>
    <t>Moni PandeyFernandez</t>
  </si>
  <si>
    <t>moni.pandey.fernandez@hsbc.co.in</t>
  </si>
  <si>
    <t>HSBC EDPI</t>
  </si>
  <si>
    <t>Monimala Bhattacharjee</t>
  </si>
  <si>
    <t>moniemalabh@gmail.com</t>
  </si>
  <si>
    <t>Ranchi</t>
  </si>
  <si>
    <t>Moti Lal Verma</t>
  </si>
  <si>
    <t>omindian62@gmail.com</t>
  </si>
  <si>
    <t>Allahabad</t>
  </si>
  <si>
    <t>Moumita Nath</t>
  </si>
  <si>
    <t>moumita27nath@gmail.com</t>
  </si>
  <si>
    <t>Munazza S</t>
  </si>
  <si>
    <t>Defroem08@gmail.com</t>
  </si>
  <si>
    <t>Asperg</t>
  </si>
  <si>
    <t>Baden-Wurttemberg</t>
  </si>
  <si>
    <t>Germany</t>
  </si>
  <si>
    <t>teacher_university</t>
  </si>
  <si>
    <t>NagaNarayanaVyas Pulavarthy</t>
  </si>
  <si>
    <t>pulavarthyvyas@kpmg.com</t>
  </si>
  <si>
    <t>Naman Gupta</t>
  </si>
  <si>
    <t>naman.gupta08@gmail.com</t>
  </si>
  <si>
    <t>Naman Mehrotra</t>
  </si>
  <si>
    <t>naman.mehrotra7@gmail.com</t>
  </si>
  <si>
    <t>Nandani Chauhan</t>
  </si>
  <si>
    <t>nandanic2005@gmail.com</t>
  </si>
  <si>
    <t>Ambernath</t>
  </si>
  <si>
    <t>NATASHA PALIWAL</t>
  </si>
  <si>
    <t>natashapaliwal5896@gmail.com</t>
  </si>
  <si>
    <t>Bhopal</t>
  </si>
  <si>
    <t>Needa Mittha</t>
  </si>
  <si>
    <t>needamittha98@gmail.com</t>
  </si>
  <si>
    <t>Neha Gupta</t>
  </si>
  <si>
    <t>neha.gupta@evidyaloka.org</t>
  </si>
  <si>
    <t>Jorhat</t>
  </si>
  <si>
    <t>Assam</t>
  </si>
  <si>
    <t>Nidhi Chaudhary</t>
  </si>
  <si>
    <t>nidhi.chaudhary@ltts.com</t>
  </si>
  <si>
    <t>Waghodia</t>
  </si>
  <si>
    <t>20/04/26</t>
  </si>
  <si>
    <t>Nidhi Tiwari</t>
  </si>
  <si>
    <t>uwfnokia1@udaanwelfare.org</t>
  </si>
  <si>
    <t>Udaan Welfare Foundation</t>
  </si>
  <si>
    <t>Udaan DIGITAL SCHOOL</t>
  </si>
  <si>
    <t>Marathi</t>
  </si>
  <si>
    <t>MHSB</t>
  </si>
  <si>
    <t>NIKITA AGRAHARI</t>
  </si>
  <si>
    <t>jogiya.eclassroom.1@evidyaloka.org</t>
  </si>
  <si>
    <t>nisha kumari</t>
  </si>
  <si>
    <t>Nisha.Kumari32c54a@cognizant.com</t>
  </si>
  <si>
    <t>Cognizant</t>
  </si>
  <si>
    <t>Jamshedpur</t>
  </si>
  <si>
    <t>Nisha Modi</t>
  </si>
  <si>
    <t>modinisha29@gmail.com</t>
  </si>
  <si>
    <t>Nithish Gurrala</t>
  </si>
  <si>
    <t>nithishg7@gmail.com</t>
  </si>
  <si>
    <t>Warangal</t>
  </si>
  <si>
    <t>OMPRAKASH SINGH</t>
  </si>
  <si>
    <t>happysingh0947@gmail.com</t>
  </si>
  <si>
    <t>Ghazipur</t>
  </si>
  <si>
    <t>Pammy Srivastava</t>
  </si>
  <si>
    <t>dhensahahkar.eclassroom-1@evidyaloka.org</t>
  </si>
  <si>
    <t>Paramjeet Kaur</t>
  </si>
  <si>
    <t>paramjeetkaur4326@gmail.com</t>
  </si>
  <si>
    <t>Scaler School of Technology - Interviewbit Software Services Pcvt Ltd</t>
  </si>
  <si>
    <t>Parshav Khandelwal</t>
  </si>
  <si>
    <t>khandelwalparshavrawat@gmail.com</t>
  </si>
  <si>
    <t>Bareilly</t>
  </si>
  <si>
    <t>Payal Singhal</t>
  </si>
  <si>
    <t>payal.singhal@gmail.com</t>
  </si>
  <si>
    <t>Pooja Agarwal</t>
  </si>
  <si>
    <t>poojaagarwal9866@gmail.com</t>
  </si>
  <si>
    <t>Community Outreach</t>
  </si>
  <si>
    <t>Pooja Singh</t>
  </si>
  <si>
    <t>singhpoojacbe1@gmail.com</t>
  </si>
  <si>
    <t>pooja tandon</t>
  </si>
  <si>
    <t>poojakobe@gmail.com</t>
  </si>
  <si>
    <t>Emailer</t>
  </si>
  <si>
    <t>Others</t>
  </si>
  <si>
    <t>Hong Kong</t>
  </si>
  <si>
    <t>Hong Kong S.A.R.</t>
  </si>
  <si>
    <t>31/01/27</t>
  </si>
  <si>
    <t>KGBV Devipur - Hira</t>
  </si>
  <si>
    <t>KGBV Devipur - Moti</t>
  </si>
  <si>
    <t>POONAM KHANNA</t>
  </si>
  <si>
    <t>poonam196517.pk@gmail.com</t>
  </si>
  <si>
    <t>UMS Bishunpur-Hira</t>
  </si>
  <si>
    <t>UMS Bishunpur-Moti</t>
  </si>
  <si>
    <t>Prachi Dwivedy</t>
  </si>
  <si>
    <t>pmonicadwivedy@gmail.com</t>
  </si>
  <si>
    <t>Prapti Mitra</t>
  </si>
  <si>
    <t>praptim@hp.com</t>
  </si>
  <si>
    <t>Preeti Routray</t>
  </si>
  <si>
    <t>preetiroutray@gmail.com</t>
  </si>
  <si>
    <t>Priya Sah</t>
  </si>
  <si>
    <t>priyasb200@gmail.com</t>
  </si>
  <si>
    <t>14/05/26</t>
  </si>
  <si>
    <t>KGBV Madhupur - Moti</t>
  </si>
  <si>
    <t>Priyanka Phanse</t>
  </si>
  <si>
    <t>priyankaphanse12@gmail.com</t>
  </si>
  <si>
    <t>Priyanka Rai</t>
  </si>
  <si>
    <t>keshraha.eclassroom.1@evidyaloka.org</t>
  </si>
  <si>
    <t>Pushpa mishra</t>
  </si>
  <si>
    <t>birdpur.eclassroom.1@evidyaloka.org</t>
  </si>
  <si>
    <t>RADHA RAMMOHAN</t>
  </si>
  <si>
    <t>radharammohan76@gmail.com</t>
  </si>
  <si>
    <t>Office and Administrative Support</t>
  </si>
  <si>
    <t>Rahul Swami</t>
  </si>
  <si>
    <t>rahulswami4225@gmail.com</t>
  </si>
  <si>
    <t>RAJ KUMARI Verma</t>
  </si>
  <si>
    <t>ghughali.eclassroom.1@evidyaloka.org</t>
  </si>
  <si>
    <t>Rajat Kumar</t>
  </si>
  <si>
    <t>mehtarajat9688@gmail.com</t>
  </si>
  <si>
    <t>Bhumi Foundation</t>
  </si>
  <si>
    <t>Sirsa</t>
  </si>
  <si>
    <t>Rakesh Parmar</t>
  </si>
  <si>
    <t>parmarrakesh1917@gmail.com</t>
  </si>
  <si>
    <t>Ramya Kumar</t>
  </si>
  <si>
    <t>ramyakumar@yahoo.com</t>
  </si>
  <si>
    <t>Chennai</t>
  </si>
  <si>
    <t>Rashmi Jha</t>
  </si>
  <si>
    <t>rashmijhapwc@gmail.com</t>
  </si>
  <si>
    <t>Pricewaterhousecoopers India Foundation</t>
  </si>
  <si>
    <t>Rewa</t>
  </si>
  <si>
    <t>Rashmi Lamba</t>
  </si>
  <si>
    <t>rashmilamba05@gmail.com</t>
  </si>
  <si>
    <t>KGBV Mohanpur - Hira</t>
  </si>
  <si>
    <t>Reema Chauhan</t>
  </si>
  <si>
    <t>reemachauhan1408@gmail.com</t>
  </si>
  <si>
    <t>Ajmer</t>
  </si>
  <si>
    <t>16/05/26</t>
  </si>
  <si>
    <t>Renu Prasad</t>
  </si>
  <si>
    <t>renuprasad361@gmail.com</t>
  </si>
  <si>
    <t>retired teacher</t>
  </si>
  <si>
    <t>KGBV Karon- Hira</t>
  </si>
  <si>
    <t>Richa Gupta</t>
  </si>
  <si>
    <t>ric848@gmail.com</t>
  </si>
  <si>
    <t>Richa Kumari</t>
  </si>
  <si>
    <t>srivastavaricha500@gmail.com</t>
  </si>
  <si>
    <t>Vaishali</t>
  </si>
  <si>
    <t>Bihar</t>
  </si>
  <si>
    <t>Rispa Maria</t>
  </si>
  <si>
    <t>rispamaria7@gmail.com</t>
  </si>
  <si>
    <t>Wayanad</t>
  </si>
  <si>
    <t>RITIKA SHARMA</t>
  </si>
  <si>
    <t>rmritika29@gmail.com</t>
  </si>
  <si>
    <t>Sikar</t>
  </si>
  <si>
    <t>Ritu Loura</t>
  </si>
  <si>
    <t>rituloura696@gmail.com</t>
  </si>
  <si>
    <t>Hisar</t>
  </si>
  <si>
    <t>Rohit Gupta</t>
  </si>
  <si>
    <t>rohitgupta2015.rg72@gmail.com</t>
  </si>
  <si>
    <t>Roopa Pradeesh</t>
  </si>
  <si>
    <t>roopavijayan@gmail.com</t>
  </si>
  <si>
    <t>Aalen</t>
  </si>
  <si>
    <t>RUPA BASU</t>
  </si>
  <si>
    <t>rupa.basu7@gmail.com</t>
  </si>
  <si>
    <t>Rushabh Dholiya</t>
  </si>
  <si>
    <t>rushabh.b.dholia@gmail.com</t>
  </si>
  <si>
    <t>Ahmedabad</t>
  </si>
  <si>
    <t>Sagarika Das</t>
  </si>
  <si>
    <t>sagarika.das.jha@gmail.com</t>
  </si>
  <si>
    <t>Sagarika M</t>
  </si>
  <si>
    <t>sagarikaiyengar@outlook.com</t>
  </si>
  <si>
    <t>KGBV Bikapur</t>
  </si>
  <si>
    <t>Sakshi Prasad</t>
  </si>
  <si>
    <t>write.sakshiprasad@gmail.com</t>
  </si>
  <si>
    <t>Idar-Oberstein</t>
  </si>
  <si>
    <t>Rheinland-Pfalz</t>
  </si>
  <si>
    <t>Salita Verma</t>
  </si>
  <si>
    <t>gadaura.eclassroom.1@evidyaloka.org</t>
  </si>
  <si>
    <t>Saloni Gupta</t>
  </si>
  <si>
    <t>casalonigupta1992@gmail.com</t>
  </si>
  <si>
    <t>Sameer Pattnaik</t>
  </si>
  <si>
    <t>sameerpattnaik95p@gmail.com</t>
  </si>
  <si>
    <t>Samrat Ghosh</t>
  </si>
  <si>
    <t>samratgh2004@gmail.com</t>
  </si>
  <si>
    <t>Kalyani</t>
  </si>
  <si>
    <t>Samrudhi Harne</t>
  </si>
  <si>
    <t>samrudhiharne002@gmail.com</t>
  </si>
  <si>
    <t>Samyak Jhanjhari</t>
  </si>
  <si>
    <t>samyak.24bcs10311@sst.scaler.com</t>
  </si>
  <si>
    <t>Sangita Kumari</t>
  </si>
  <si>
    <t>sangita.bioinfo@gmail.com</t>
  </si>
  <si>
    <t>Sanika Wankhade</t>
  </si>
  <si>
    <t>sanikawankhade05@gmail.com</t>
  </si>
  <si>
    <t>SANKET DAROKAR</t>
  </si>
  <si>
    <t>sanketdarokar@kpmg.com</t>
  </si>
  <si>
    <t>Satyam Pandey</t>
  </si>
  <si>
    <t>satyampandey009@gmail.com</t>
  </si>
  <si>
    <t>Saumya Rai</t>
  </si>
  <si>
    <t>saumyarai2503@gmail.com</t>
  </si>
  <si>
    <t>KGBV Pura Bazar</t>
  </si>
  <si>
    <t>Saurav Suman</t>
  </si>
  <si>
    <t>saurav472.hitcseaiml2020@gmail.com</t>
  </si>
  <si>
    <t>Ara</t>
  </si>
  <si>
    <t>Savatsa Belwal</t>
  </si>
  <si>
    <t>belwalsavatsa@gmail.com</t>
  </si>
  <si>
    <t>Saharanpur</t>
  </si>
  <si>
    <t>Seema Mishra</t>
  </si>
  <si>
    <t>seema.mishra2208@gmail.com</t>
  </si>
  <si>
    <t>UHS Bhandari</t>
  </si>
  <si>
    <t>Sefali Vardhan</t>
  </si>
  <si>
    <t>bhanwapur.eclassroom.1@evidyaloka.org</t>
  </si>
  <si>
    <t>Shabnam Barwal</t>
  </si>
  <si>
    <t>barwalshabnam@gmail.com</t>
  </si>
  <si>
    <t>Palampur</t>
  </si>
  <si>
    <t>Himachal Pradesh</t>
  </si>
  <si>
    <t>Shalini Paliwal</t>
  </si>
  <si>
    <t>shalinipaliwal1977@gmail.com</t>
  </si>
  <si>
    <t>Shaloo Tripathi</t>
  </si>
  <si>
    <t>kuniyaan.eclassroom.1@evidyaloka.org</t>
  </si>
  <si>
    <t>Shalu Srivastava</t>
  </si>
  <si>
    <t>pipra-bhaiya.eclassroom_1@evidyaloka.org</t>
  </si>
  <si>
    <t>Shefali Shrivastava</t>
  </si>
  <si>
    <t>shefalishrivastava26@gmail.com</t>
  </si>
  <si>
    <t>Shivang Rajwanshi</t>
  </si>
  <si>
    <t>miniji2401@gmail.com</t>
  </si>
  <si>
    <t>Meerut</t>
  </si>
  <si>
    <t>Shraddha Mohanty</t>
  </si>
  <si>
    <t>shraddhamohanty2006@gmail.com</t>
  </si>
  <si>
    <t>Seattle</t>
  </si>
  <si>
    <t>Washington</t>
  </si>
  <si>
    <t>United States</t>
  </si>
  <si>
    <t>Shradha Dip</t>
  </si>
  <si>
    <t>dip.shradha@gmail.com</t>
  </si>
  <si>
    <t>Secunderabad</t>
  </si>
  <si>
    <t>Siddham Jain</t>
  </si>
  <si>
    <t>siddham.23bcs10103@sst.scaler.com</t>
  </si>
  <si>
    <t>Sinchana K</t>
  </si>
  <si>
    <t>sinchanakalal9@gmail.com</t>
  </si>
  <si>
    <t>Sonali Kulkarni</t>
  </si>
  <si>
    <t>sonalikulkarni1908@gmail.com</t>
  </si>
  <si>
    <t>Sowmya Desikan</t>
  </si>
  <si>
    <t>l.desikan0716@gmail.com</t>
  </si>
  <si>
    <t>Subrata Chattopadhyay</t>
  </si>
  <si>
    <t>subrata_chattopadhya@infosys.com</t>
  </si>
  <si>
    <t>Sunita Puri</t>
  </si>
  <si>
    <t>sunita.puri15@gmail.com</t>
  </si>
  <si>
    <t>Chandigarh</t>
  </si>
  <si>
    <t>Surya Chauhan</t>
  </si>
  <si>
    <t>suryaredalert13@gmail.com</t>
  </si>
  <si>
    <t>Swati Gautam</t>
  </si>
  <si>
    <t>swati.88dec@gmail.com</t>
  </si>
  <si>
    <t>Sonipat</t>
  </si>
  <si>
    <t>Swati Gutgutia</t>
  </si>
  <si>
    <t>gutgutia.swati87@gmail.com</t>
  </si>
  <si>
    <t>Sweta Singh</t>
  </si>
  <si>
    <t>Sweta.Singh18@techmahindra.com</t>
  </si>
  <si>
    <t>Tech Mahindra Limited</t>
  </si>
  <si>
    <t>Tanisha Gupta</t>
  </si>
  <si>
    <t>tanishaguptajpr@gmail.com</t>
  </si>
  <si>
    <t>Tanya Jindal</t>
  </si>
  <si>
    <t>jindal.tanya11@gmail.com</t>
  </si>
  <si>
    <t>Tejaswi Srikanta</t>
  </si>
  <si>
    <t>tejaskanta23@gmail.com</t>
  </si>
  <si>
    <t>Usha Lal</t>
  </si>
  <si>
    <t>anjulal1@yahoo.co.in</t>
  </si>
  <si>
    <t>Utkarsh Aggarwal</t>
  </si>
  <si>
    <t>demigodslie@gmail.com</t>
  </si>
  <si>
    <t>Uttara Goel</t>
  </si>
  <si>
    <t>uttaragoel@gmail.com</t>
  </si>
  <si>
    <t>Vaishali Chande</t>
  </si>
  <si>
    <t>vaishali.chande@gmail.com</t>
  </si>
  <si>
    <t>Jharia</t>
  </si>
  <si>
    <t>Vanshita Jhamtani</t>
  </si>
  <si>
    <t>jhamtanivanshita28@gmail.com</t>
  </si>
  <si>
    <t>Kamthi</t>
  </si>
  <si>
    <t>Varun Singh</t>
  </si>
  <si>
    <t>varunsi0071@gmail.com</t>
  </si>
  <si>
    <t>Varanasi</t>
  </si>
  <si>
    <t>Vasuki KP</t>
  </si>
  <si>
    <t>kpvasuki59@gmail.com</t>
  </si>
  <si>
    <t>Retd. Professional</t>
  </si>
  <si>
    <t>Vatsla Phillips</t>
  </si>
  <si>
    <t>Vatsla.phillips@hp.com</t>
  </si>
  <si>
    <t>VijayaSaiSameera Yadlapati</t>
  </si>
  <si>
    <t>sameera.yadlapati@gmail.com</t>
  </si>
  <si>
    <t>Viswajit Ghosh</t>
  </si>
  <si>
    <t>vishuji85@gmail.com</t>
  </si>
  <si>
    <t>Yashraj Verma</t>
  </si>
  <si>
    <t>yashverma6489vt2@gmail.com</t>
  </si>
  <si>
    <t>Row Labels</t>
  </si>
  <si>
    <t>Sum of Present/CLH</t>
  </si>
  <si>
    <t>count</t>
  </si>
  <si>
    <t>clh</t>
  </si>
  <si>
    <t>Teacher_id</t>
  </si>
  <si>
    <t>Teacher_name</t>
  </si>
  <si>
    <t>E-mail</t>
  </si>
  <si>
    <t>State</t>
  </si>
  <si>
    <t>Assigned date</t>
  </si>
  <si>
    <t>Dropped date</t>
  </si>
  <si>
    <t>Dropped Offerings</t>
  </si>
  <si>
    <t>Dropped offering names</t>
  </si>
  <si>
    <t>Reasons</t>
  </si>
  <si>
    <t>Dropped Offering count</t>
  </si>
  <si>
    <t>Currently active offerings</t>
  </si>
  <si>
    <t>UPS Itwa - 7 - Conceptual Learning Science-HM</t>
  </si>
  <si>
    <t>Higher studies/Preparing for exams</t>
  </si>
  <si>
    <t>Divyanshu Vadehra</t>
  </si>
  <si>
    <t>divyanshuvadehra100@gmail.com</t>
  </si>
  <si>
    <t>GMS Jallian - 6 - Conceptual Learning - Math</t>
  </si>
  <si>
    <t>Health issues</t>
  </si>
  <si>
    <t>Month</t>
  </si>
  <si>
    <t>id</t>
  </si>
  <si>
    <t>Offering_status</t>
  </si>
  <si>
    <t>Center name</t>
  </si>
  <si>
    <t>Reference Channel</t>
  </si>
  <si>
    <t>Updated_by</t>
  </si>
  <si>
    <t>offering_id</t>
  </si>
  <si>
    <t>teacher_id</t>
  </si>
  <si>
    <t>created_date</t>
  </si>
  <si>
    <t>created_by_id</t>
  </si>
  <si>
    <t>updated_date</t>
  </si>
  <si>
    <t>updated_by_id</t>
  </si>
  <si>
    <t>booked_date</t>
  </si>
  <si>
    <t>dropped_category</t>
  </si>
  <si>
    <t>reject_reason</t>
  </si>
  <si>
    <t>orientation_date</t>
  </si>
  <si>
    <t>May</t>
  </si>
  <si>
    <t>Nikhil Pagdal</t>
  </si>
  <si>
    <t>nikhil.pagdal@gmail.com</t>
  </si>
  <si>
    <t>Admin 2</t>
  </si>
  <si>
    <t>You have not completed the on-boarding steps to start teaching</t>
  </si>
  <si>
    <t>Gaurav Bisht</t>
  </si>
  <si>
    <t>bisht.gaurav.1104@gmail.com</t>
  </si>
  <si>
    <t>Volunteer want to discontinue</t>
  </si>
  <si>
    <t>User ID</t>
  </si>
  <si>
    <t>User Name</t>
  </si>
  <si>
    <t>Date Joined</t>
  </si>
  <si>
    <t>Gender</t>
  </si>
  <si>
    <t>Country</t>
  </si>
  <si>
    <t>City</t>
  </si>
  <si>
    <t>Role</t>
  </si>
  <si>
    <t>Rida Jain</t>
  </si>
  <si>
    <t>female</t>
  </si>
  <si>
    <t>ridaajain24@gmail.com</t>
  </si>
  <si>
    <t>RajAryan SINGH</t>
  </si>
  <si>
    <t>male</t>
  </si>
  <si>
    <t>singhrajaryan021@gmail.com</t>
  </si>
  <si>
    <t>Anju Aggarwal</t>
  </si>
  <si>
    <t>tanyaaggarwal2020@gmail.com</t>
  </si>
  <si>
    <t>Srivarshini S</t>
  </si>
  <si>
    <t>u16200104@gmail.com</t>
  </si>
  <si>
    <t>Poonam Singh</t>
  </si>
  <si>
    <t>Gajraula</t>
  </si>
  <si>
    <t>Chinmayee Saraff</t>
  </si>
  <si>
    <t>chinmayeesaraff@gmail.com</t>
  </si>
  <si>
    <t>Belgaum</t>
  </si>
  <si>
    <t>Moksh Srivastava</t>
  </si>
  <si>
    <t>mokshsrivastava985@gmail.com</t>
  </si>
  <si>
    <t>Kanpur</t>
  </si>
  <si>
    <t>Akriti Singh</t>
  </si>
  <si>
    <t>akritisingh999567@gmail.com</t>
  </si>
  <si>
    <t>Durg</t>
  </si>
  <si>
    <t>S Chakraborty</t>
  </si>
  <si>
    <t>sandy49.c@gmail.com</t>
  </si>
  <si>
    <t>Rajeswari N</t>
  </si>
  <si>
    <t>rhagavi3@gmail.com</t>
  </si>
  <si>
    <t>Sneha Suren</t>
  </si>
  <si>
    <t>augustinsuren119@gmail.com</t>
  </si>
  <si>
    <t>Andhra Pradesh</t>
  </si>
  <si>
    <t>Chipurupalle</t>
  </si>
  <si>
    <t>Anurag Dwivedi</t>
  </si>
  <si>
    <t>anuhappy2007@gmail.com</t>
  </si>
  <si>
    <t>Canada</t>
  </si>
  <si>
    <t>Ontario</t>
  </si>
  <si>
    <t>Toronto</t>
  </si>
  <si>
    <t>Anshika Maheshwari</t>
  </si>
  <si>
    <t>maheshwarianshika07@gmail.com</t>
  </si>
  <si>
    <t>Kota</t>
  </si>
  <si>
    <t>SivaSravan Chilukoti</t>
  </si>
  <si>
    <t>sravanchilukoti6@gmail.com</t>
  </si>
  <si>
    <t>Kakinada</t>
  </si>
  <si>
    <t>Muskan Yadav</t>
  </si>
  <si>
    <t>suhelyadav085@gmail.com</t>
  </si>
  <si>
    <t>Jaunpur</t>
  </si>
  <si>
    <t>AMIT TIWARI</t>
  </si>
  <si>
    <t>shenkyamit1111@gmail.com</t>
  </si>
  <si>
    <t>Diya Ahuja</t>
  </si>
  <si>
    <t>diyaahuja1906@gmail.com</t>
  </si>
  <si>
    <t>ANANDA DAS</t>
  </si>
  <si>
    <t>uniqueanandooo3@gmail.com</t>
  </si>
  <si>
    <t>Jyoshna Yangala</t>
  </si>
  <si>
    <t>jyoshna22work@gmail.com</t>
  </si>
  <si>
    <t>Visakhapatnam</t>
  </si>
  <si>
    <t>Sangeeta Agarwal</t>
  </si>
  <si>
    <t>iics.sangeeta@gmail.com</t>
  </si>
  <si>
    <t>Shresth Sagar</t>
  </si>
  <si>
    <t>shresthsagar.02@gmail.com</t>
  </si>
  <si>
    <t>Aryan Shekhar</t>
  </si>
  <si>
    <t>shekhararyan28@gmail.com</t>
  </si>
  <si>
    <t>Daltenganj</t>
  </si>
  <si>
    <t>Animesh Pande</t>
  </si>
  <si>
    <t>animeshpande10@gmail.com</t>
  </si>
  <si>
    <t>Thane</t>
  </si>
  <si>
    <t>Neelesh Shukla</t>
  </si>
  <si>
    <t>ut.oct.10@gmail.com</t>
  </si>
  <si>
    <t>Aashvi Sanghavi</t>
  </si>
  <si>
    <t>aashvisanghavi91@gmail.com</t>
  </si>
  <si>
    <t>SHYALONA Ghosh</t>
  </si>
  <si>
    <t>shyalonaghosh@gmail.com</t>
  </si>
  <si>
    <t>Howrah</t>
  </si>
  <si>
    <t>K Mankad</t>
  </si>
  <si>
    <t>khmankad@gmail.com</t>
  </si>
  <si>
    <t>Pooja Sadana</t>
  </si>
  <si>
    <t>drpooja.sadana@gmail.com</t>
  </si>
  <si>
    <t>Ulm</t>
  </si>
  <si>
    <t>Yogita Kashikar</t>
  </si>
  <si>
    <t>yogita.kashikar@gmail.com</t>
  </si>
  <si>
    <t>Hiba Khan</t>
  </si>
  <si>
    <t>hibak5812@gmail.com</t>
  </si>
  <si>
    <t>Sahil Priyadarshi</t>
  </si>
  <si>
    <t>sahilpriyadarshi121@gmail.com</t>
  </si>
  <si>
    <t>Sahibganj</t>
  </si>
  <si>
    <t>Riya Poonia</t>
  </si>
  <si>
    <t>riyapoonia35@gmail.com</t>
  </si>
  <si>
    <t>Panipat</t>
  </si>
  <si>
    <t>Lakshya Agarwal</t>
  </si>
  <si>
    <t>agarwal.lakshya500@gmail.com</t>
  </si>
  <si>
    <t>United Kingdom</t>
  </si>
  <si>
    <t>Manchester</t>
  </si>
  <si>
    <t>Bhumy Patel</t>
  </si>
  <si>
    <t>bhumyjp1506@gmail.com</t>
  </si>
  <si>
    <t>Georgia</t>
  </si>
  <si>
    <t>Savannah</t>
  </si>
  <si>
    <t>Jashman Kaur</t>
  </si>
  <si>
    <t>Rampur</t>
  </si>
  <si>
    <t>Suman Kumari</t>
  </si>
  <si>
    <t>suman444447@gmail.com</t>
  </si>
  <si>
    <t>Gwalior</t>
  </si>
  <si>
    <t>Swarna Gowri</t>
  </si>
  <si>
    <t>swarnabhat012@gmail.com</t>
  </si>
  <si>
    <t>Kasaragod</t>
  </si>
  <si>
    <t>Prachi Setia</t>
  </si>
  <si>
    <t>prachi24200424@gamil.com</t>
  </si>
  <si>
    <t>Varshini S</t>
  </si>
  <si>
    <t>varshini.asr@gmail.com</t>
  </si>
  <si>
    <t>Karur</t>
  </si>
  <si>
    <t>Sagar C</t>
  </si>
  <si>
    <t>sagarchapara@gmail.com</t>
  </si>
  <si>
    <t>Zeel Adhiya</t>
  </si>
  <si>
    <t>zeeladhiya66@gmail.com</t>
  </si>
  <si>
    <t>Surat</t>
  </si>
  <si>
    <t>PRAKASH KADAM</t>
  </si>
  <si>
    <t>Animesh Roy</t>
  </si>
  <si>
    <t>aniroy429@gmail.com</t>
  </si>
  <si>
    <t>Shrikant Leishangthem</t>
  </si>
  <si>
    <t>4045ssimphall@gmail.com</t>
  </si>
  <si>
    <t>Manipur</t>
  </si>
  <si>
    <t>Imphal</t>
  </si>
  <si>
    <t>Harshul Maggon</t>
  </si>
  <si>
    <t>harshulmaggon@gmail.com</t>
  </si>
  <si>
    <t>Devyani Singh</t>
  </si>
  <si>
    <t>devyanisingh1707@gmail.com</t>
  </si>
  <si>
    <t>Agra</t>
  </si>
  <si>
    <t>Aradhya Verma</t>
  </si>
  <si>
    <t>aradhyaverma490@gmail.com</t>
  </si>
  <si>
    <t>Manognya CV</t>
  </si>
  <si>
    <t>manognyacv@gmail.com</t>
  </si>
  <si>
    <t>PRISHA NARAIN</t>
  </si>
  <si>
    <t>ipl04prishan@iimrohtak.ac.in</t>
  </si>
  <si>
    <t>Rohtak</t>
  </si>
  <si>
    <t>Pratyusha Roy</t>
  </si>
  <si>
    <t>pratyushary91@gmail.com</t>
  </si>
  <si>
    <t>Burdwan</t>
  </si>
  <si>
    <t>Sunanda Mukherjee</t>
  </si>
  <si>
    <t>sunandamu2006@gmail.com</t>
  </si>
  <si>
    <t>Yukta P</t>
  </si>
  <si>
    <t>yuktapbhoopalam@gmail.com</t>
  </si>
  <si>
    <t>Sakshi Bandhu</t>
  </si>
  <si>
    <t>sakshibandhu@gmail.com</t>
  </si>
  <si>
    <t>Mississauga</t>
  </si>
  <si>
    <t>Aakriti Sharma</t>
  </si>
  <si>
    <t>aakriti.sharma14@gmail.com</t>
  </si>
  <si>
    <t>Sneha Singha</t>
  </si>
  <si>
    <t>snehasingha20040000@gmail.com</t>
  </si>
  <si>
    <t>Bankura</t>
  </si>
  <si>
    <t>RAGHAV S</t>
  </si>
  <si>
    <t>kingdino2076@gmail.com</t>
  </si>
  <si>
    <t>Shreyansh Tripathi</t>
  </si>
  <si>
    <t>shreyanshtmnt@gmail.com</t>
  </si>
  <si>
    <t>Ballia</t>
  </si>
  <si>
    <t>Rashmi Madhav</t>
  </si>
  <si>
    <t>rashmimkir@gmail.com</t>
  </si>
  <si>
    <t>Shahil Sharma</t>
  </si>
  <si>
    <t>mrsahilsharma2004@gmail.com</t>
  </si>
  <si>
    <t>Raigad</t>
  </si>
  <si>
    <t>Reshma Lohia</t>
  </si>
  <si>
    <t>lohiareshma@gmail.com</t>
  </si>
  <si>
    <t>Chandini Kalluri</t>
  </si>
  <si>
    <t>chandinikalluri@gmail.com</t>
  </si>
  <si>
    <t>Poland</t>
  </si>
  <si>
    <t>Mazowieckie</t>
  </si>
  <si>
    <t>Warszawa</t>
  </si>
  <si>
    <t>Rachna Sinha</t>
  </si>
  <si>
    <t>rachnasinha3848@gmail.com</t>
  </si>
  <si>
    <t>Priyanka Palani</t>
  </si>
  <si>
    <t>palanipriyanka08@gmail.com</t>
  </si>
  <si>
    <t>Khadki</t>
  </si>
  <si>
    <t>Sakshi Jaiswal</t>
  </si>
  <si>
    <t>sakshijya121@gmail.com</t>
  </si>
  <si>
    <t>Sehore</t>
  </si>
  <si>
    <t>Kolli Sathish</t>
  </si>
  <si>
    <t>sreelucky149@gmail.com</t>
  </si>
  <si>
    <t>Anantapur</t>
  </si>
  <si>
    <t>SuryaKanta Hazra</t>
  </si>
  <si>
    <t>suryakantahazra6@gmail.com</t>
  </si>
  <si>
    <t>Haora</t>
  </si>
  <si>
    <t>Pranay Mittal</t>
  </si>
  <si>
    <t>pranaymittal003@gmail.com</t>
  </si>
  <si>
    <t>Dehradun</t>
  </si>
  <si>
    <t>N Mallesh</t>
  </si>
  <si>
    <t>nagulapallymallesham143@gmail.com</t>
  </si>
  <si>
    <t>Siddipet</t>
  </si>
  <si>
    <t>Rajavi Maddhipati</t>
  </si>
  <si>
    <t>rajavi412@gmail.com</t>
  </si>
  <si>
    <t>Ishita Gupta</t>
  </si>
  <si>
    <t>ishita251@gmail.com</t>
  </si>
  <si>
    <t>Zirakpur</t>
  </si>
  <si>
    <t>Adit Garg</t>
  </si>
  <si>
    <t>aaditgargg.148@gmail.com</t>
  </si>
  <si>
    <t>Panchshila Pathare</t>
  </si>
  <si>
    <t>ppathare1010@gmail.com</t>
  </si>
  <si>
    <t>Kaviyarasu Ramachandran</t>
  </si>
  <si>
    <t>kaviramachandran610@gmail.com</t>
  </si>
  <si>
    <t>63834 15624</t>
  </si>
  <si>
    <t>Joya Parveen</t>
  </si>
  <si>
    <t>joyaparveen0329@gmail.com</t>
  </si>
  <si>
    <t>Babita Agrawal</t>
  </si>
  <si>
    <t>sarveshagrawal2601@gmail.com</t>
  </si>
  <si>
    <t>Anuhya Vijapurapu</t>
  </si>
  <si>
    <t>anuhyavijapurapu@gmail.com</t>
  </si>
  <si>
    <t>Srushti Kamble</t>
  </si>
  <si>
    <t>srushti19112007@gmail.com</t>
  </si>
  <si>
    <t>Shaifali Mittal</t>
  </si>
  <si>
    <t>mittal.shaifali@gmail.com</t>
  </si>
  <si>
    <t>Mahendragarh</t>
  </si>
  <si>
    <t>Bhavani Raman</t>
  </si>
  <si>
    <t>SRIRAGAVENDIRA@gmail.com</t>
  </si>
  <si>
    <t>Tuticorin</t>
  </si>
  <si>
    <t>Kamakshi Wason</t>
  </si>
  <si>
    <t>wasonkamakshi@gmail.com</t>
  </si>
  <si>
    <t>sanskargupta270925@gmail.com</t>
  </si>
  <si>
    <t>Kirtika Basant</t>
  </si>
  <si>
    <t>kirtikabasant@gmail.com</t>
  </si>
  <si>
    <t>Megha Singla</t>
  </si>
  <si>
    <t>megha.singla.chd@gmail.com</t>
  </si>
  <si>
    <t>California</t>
  </si>
  <si>
    <t>San Diego</t>
  </si>
  <si>
    <t>Aditi Ladia</t>
  </si>
  <si>
    <t>aditiladia1400@gmail.com</t>
  </si>
  <si>
    <t>Akshat Singh</t>
  </si>
  <si>
    <t>akshat.singh9736@gmail.com</t>
  </si>
  <si>
    <t>Hoshiarpur</t>
  </si>
  <si>
    <t>Debdeep Bhadra</t>
  </si>
  <si>
    <t>partha1bhadra@gmail.com</t>
  </si>
  <si>
    <t>Nadia</t>
  </si>
  <si>
    <t>Tanu Sangwan</t>
  </si>
  <si>
    <t>tanusangwan55@gmail.com</t>
  </si>
  <si>
    <t>Aditya Goyanka</t>
  </si>
  <si>
    <t>adigoyanka@gmail.com</t>
  </si>
  <si>
    <t>Narendra Parmar</t>
  </si>
  <si>
    <t>khweirna2009@gmail.com</t>
  </si>
  <si>
    <t>Dholpur</t>
  </si>
  <si>
    <t>SnehaEswari Thota</t>
  </si>
  <si>
    <t>snehaeswari216@gmail.com</t>
  </si>
  <si>
    <t>Bollaram</t>
  </si>
  <si>
    <t>Tina Pathania</t>
  </si>
  <si>
    <t>teenarajput798@gmail.com</t>
  </si>
  <si>
    <t>Dasuya</t>
  </si>
  <si>
    <t>Afreen A</t>
  </si>
  <si>
    <t>afreen7727@gmail.com</t>
  </si>
  <si>
    <t>Mohammd Rahil</t>
  </si>
  <si>
    <t>mdrahil9375@gmail.com</t>
  </si>
  <si>
    <t>Akot</t>
  </si>
  <si>
    <t>Parth Shah</t>
  </si>
  <si>
    <t>pyshah1031991@gmail.com</t>
  </si>
  <si>
    <t>Abhisree Puthuvay</t>
  </si>
  <si>
    <t>abhisreeputhuvay@gmail.com</t>
  </si>
  <si>
    <t>Kadalundi</t>
  </si>
  <si>
    <t>Sasmita Singh</t>
  </si>
  <si>
    <t>sasmitasingh4@gmail.com</t>
  </si>
  <si>
    <t>Bhubaneswar</t>
  </si>
  <si>
    <t>Sana Afreen</t>
  </si>
  <si>
    <t>sanafreen03@gmail.com</t>
  </si>
  <si>
    <t>Bhadohi</t>
  </si>
  <si>
    <t>Vaishnavi Pandit</t>
  </si>
  <si>
    <t>vai.pandit333@gmail.comv</t>
  </si>
  <si>
    <t>Mehsana</t>
  </si>
  <si>
    <t>Purnimaa Jadhav</t>
  </si>
  <si>
    <t>purnimaajadhav2200@gmail.com</t>
  </si>
  <si>
    <t>Tushara Jp</t>
  </si>
  <si>
    <t>tushmagic777@gmail.com</t>
  </si>
  <si>
    <t>Jayapriyan J</t>
  </si>
  <si>
    <t>jpriyan172@gmail.com</t>
  </si>
  <si>
    <t>Virudhunagar</t>
  </si>
  <si>
    <t>Swara Shinde</t>
  </si>
  <si>
    <t>sswara769@gmail.com</t>
  </si>
  <si>
    <t>Vinayapoornima MJ</t>
  </si>
  <si>
    <t>vinayapoornimamj@gmail.com</t>
  </si>
  <si>
    <t>Thiruvananthapuram</t>
  </si>
  <si>
    <t>Rohit Nagpal</t>
  </si>
  <si>
    <t>rohitnagpal88@gmail.com</t>
  </si>
  <si>
    <t>Diya Hira</t>
  </si>
  <si>
    <t>diyamaganlal@gmail.com</t>
  </si>
  <si>
    <t>Mozambique</t>
  </si>
  <si>
    <t>Maputo</t>
  </si>
  <si>
    <t>Aangee Mehta</t>
  </si>
  <si>
    <t>aangeemehta@gmail.com</t>
  </si>
  <si>
    <t>Indiana</t>
  </si>
  <si>
    <t>Elkhart</t>
  </si>
  <si>
    <t>Gaurrika Bhandarri</t>
  </si>
  <si>
    <t>Massachusetts</t>
  </si>
  <si>
    <t>Boston</t>
  </si>
  <si>
    <t>Aashi Bhadauria</t>
  </si>
  <si>
    <t>aashibhadauria78@gmail.com</t>
  </si>
  <si>
    <t>Jinisha Bhanushali</t>
  </si>
  <si>
    <t>jinishab@gmail.com</t>
  </si>
  <si>
    <t>Dublin</t>
  </si>
  <si>
    <t>Aditya Sinha</t>
  </si>
  <si>
    <t>sinha.aditya2804@gmail.com</t>
  </si>
  <si>
    <t>San Jose</t>
  </si>
  <si>
    <t>A D</t>
  </si>
  <si>
    <t>akkiau90@gmail.com</t>
  </si>
  <si>
    <t>Ankita Vats</t>
  </si>
  <si>
    <t>ankitavats93@gmail.com</t>
  </si>
  <si>
    <t>Amrin Taj</t>
  </si>
  <si>
    <t>amrinblr@gmail.com</t>
  </si>
  <si>
    <t>Sharjah</t>
  </si>
  <si>
    <t>Sowjanya Srimanikandan</t>
  </si>
  <si>
    <t>sowjanyas2007@gmail.com</t>
  </si>
  <si>
    <t>Kamal Khanna</t>
  </si>
  <si>
    <t>kmlkhanna1@gmail.com</t>
  </si>
  <si>
    <t>Khush Araniya</t>
  </si>
  <si>
    <t>khushlalalala@gmail.com</t>
  </si>
  <si>
    <t>Testing Partner Testing</t>
  </si>
  <si>
    <t>nityanand.c@evidyaloka.org</t>
  </si>
  <si>
    <t>Testing Digital School</t>
  </si>
  <si>
    <t>SIGMA DASH</t>
  </si>
  <si>
    <t>sigma.dash@infosys.com</t>
  </si>
  <si>
    <t>Prashan K</t>
  </si>
  <si>
    <t>testing@123ev.com</t>
  </si>
  <si>
    <t>Taluk</t>
  </si>
  <si>
    <t>testing@evidyaloka.org</t>
  </si>
  <si>
    <t>Sahil Monga</t>
  </si>
  <si>
    <t>Sahilmonga475@gmail.com</t>
  </si>
  <si>
    <t>Muktsar</t>
  </si>
  <si>
    <t>Himasri Chadaram</t>
  </si>
  <si>
    <t>himasrichadaram@gmail.com</t>
  </si>
  <si>
    <t>Ranga Reddy district</t>
  </si>
  <si>
    <t>Devanssh Taparia</t>
  </si>
  <si>
    <t>devansshtaparia@gmail.com</t>
  </si>
  <si>
    <t>Aradhana Jadhav</t>
  </si>
  <si>
    <t>akanksha3112@gmail.com</t>
  </si>
  <si>
    <t>Akola</t>
  </si>
  <si>
    <t>Ananya Singh</t>
  </si>
  <si>
    <t>singhananyaa10@gmail.com</t>
  </si>
  <si>
    <t>Dhruv Deshpande</t>
  </si>
  <si>
    <t>dhruvdeshpande1234@gmail.com</t>
  </si>
  <si>
    <t>Nashik</t>
  </si>
  <si>
    <t>Rohan Dutta</t>
  </si>
  <si>
    <t>Akshaya Raj</t>
  </si>
  <si>
    <t>Sharda Routray</t>
  </si>
  <si>
    <t>shardaroutray@gmail.com</t>
  </si>
  <si>
    <t>Ankita Bhusari</t>
  </si>
  <si>
    <t>ankitabhusari1997@gmail.com</t>
  </si>
  <si>
    <t>Texas</t>
  </si>
  <si>
    <t>Austin</t>
  </si>
  <si>
    <t>Sanjay A</t>
  </si>
  <si>
    <t>Dheeraj Agarwal</t>
  </si>
  <si>
    <t>agarwaldheeraj972@gmail.com</t>
  </si>
  <si>
    <t>Adya Pandey</t>
  </si>
  <si>
    <t>adyathisside@gmail.com</t>
  </si>
  <si>
    <t>Rashi Tyagi</t>
  </si>
  <si>
    <t>rashi.tyagi2004@gmail.com</t>
  </si>
  <si>
    <t>Priyanshu Kumar</t>
  </si>
  <si>
    <t>priyanshu11092005@gmail.com</t>
  </si>
  <si>
    <t>Muzaffarpur</t>
  </si>
  <si>
    <t>Sankalp Annavarpu</t>
  </si>
  <si>
    <t>27sankalp@gmail.com</t>
  </si>
  <si>
    <t>Priya Jain</t>
  </si>
  <si>
    <t>prijain26125@gmail.com</t>
  </si>
  <si>
    <t>Maitri Rai</t>
  </si>
  <si>
    <t>maitrirai123@gmail.com</t>
  </si>
  <si>
    <t>Akankshita Borah</t>
  </si>
  <si>
    <t>aborah13@gmail.com</t>
  </si>
  <si>
    <t>Taiwan</t>
  </si>
  <si>
    <t>Taoyuan City</t>
  </si>
  <si>
    <t>Ta Yuan</t>
  </si>
  <si>
    <t>Venisha Agrawal</t>
  </si>
  <si>
    <t>venisha.agrawal7@gmail.com</t>
  </si>
  <si>
    <t>Pravalika Das</t>
  </si>
  <si>
    <t>pravalika.das.wgs@gmail.com</t>
  </si>
  <si>
    <t>Swapnil Snigdh</t>
  </si>
  <si>
    <t>swapnildps2005@gmail.com</t>
  </si>
  <si>
    <t>Berlin</t>
  </si>
  <si>
    <t>Sai Yadavalli</t>
  </si>
  <si>
    <t>snehitha16july@gmail.com</t>
  </si>
  <si>
    <t>Parth Gangurde</t>
  </si>
  <si>
    <t>parthgangurde4@gmail.com</t>
  </si>
  <si>
    <t>MANISHKUMAR DASGUPTA</t>
  </si>
  <si>
    <t>manishkumardasguptaacademic12@gmail.com</t>
  </si>
  <si>
    <t>Tripura</t>
  </si>
  <si>
    <t>Agartala</t>
  </si>
  <si>
    <t>Mantu Kumar</t>
  </si>
  <si>
    <t>rajmantu924@gmail.com</t>
  </si>
  <si>
    <t>Sonepur</t>
  </si>
  <si>
    <t>Ruhi</t>
  </si>
  <si>
    <t>rohimahajan87@gmail.com</t>
  </si>
  <si>
    <t>Mahajan</t>
  </si>
  <si>
    <t>MdSameena Thasleem</t>
  </si>
  <si>
    <t>sameenamd006@gmail.com</t>
  </si>
  <si>
    <t>Sravani Kopparapu</t>
  </si>
  <si>
    <t>sravani.sitams@gmail.com</t>
  </si>
  <si>
    <t>Virginia</t>
  </si>
  <si>
    <t>Herndon</t>
  </si>
  <si>
    <t>HariChandana Hebbare</t>
  </si>
  <si>
    <t>harichandana.hebbare@gmail.com</t>
  </si>
  <si>
    <t>Adoni</t>
  </si>
  <si>
    <t>Saraswat Sahoo</t>
  </si>
  <si>
    <t>saraswatsahoo13@gmail.com</t>
  </si>
  <si>
    <t>Chak Bankola</t>
  </si>
  <si>
    <t>Bibhas Saha</t>
  </si>
  <si>
    <t>sahashipra111@gmail.com</t>
  </si>
  <si>
    <t>24 Parganas (n)</t>
  </si>
  <si>
    <t>Shilpi Johri</t>
  </si>
  <si>
    <t>shilpijohri2527@gmail.com</t>
  </si>
  <si>
    <t>Moradabad</t>
  </si>
  <si>
    <t>Sarmilee Das</t>
  </si>
  <si>
    <t>sarmileedas87@gmail.com</t>
  </si>
  <si>
    <t>Brahmapur</t>
  </si>
  <si>
    <t>Aditya Kumar</t>
  </si>
  <si>
    <t>thispcofbedroom@gmail.com</t>
  </si>
  <si>
    <t>Jahanabad</t>
  </si>
  <si>
    <t>CHINMAYEE JAGADESH</t>
  </si>
  <si>
    <t>CHINMAYEEJ1631@gmail.com</t>
  </si>
  <si>
    <t>Chitradurga</t>
  </si>
  <si>
    <t>Abhishek Singh</t>
  </si>
  <si>
    <t>abhishek.singh.se2024@gmail.com</t>
  </si>
  <si>
    <t>Nishu Kumari</t>
  </si>
  <si>
    <t>nishuchy1204@gmail.com</t>
  </si>
  <si>
    <t>SRUSHTI PANCHAL</t>
  </si>
  <si>
    <t>panchalsrushti650@gmail.com</t>
  </si>
  <si>
    <t>Alandi</t>
  </si>
  <si>
    <t>Atri Das</t>
  </si>
  <si>
    <t>atridas99@gmail.com</t>
  </si>
  <si>
    <t>Midnapur</t>
  </si>
  <si>
    <t>Manvi Dangayach</t>
  </si>
  <si>
    <t>manvidangayech@gmail.com</t>
  </si>
  <si>
    <t>Vinod Kumawat</t>
  </si>
  <si>
    <t>vinod.kumwt@gmail.com</t>
  </si>
  <si>
    <t>Rajsamand</t>
  </si>
  <si>
    <t>ChithrakalaReddy Gali</t>
  </si>
  <si>
    <t>chithrakalareddy.g@gmail.com</t>
  </si>
  <si>
    <t>Ohio</t>
  </si>
  <si>
    <t>Cincinnati</t>
  </si>
  <si>
    <t>SHIVAM KUMAR</t>
  </si>
  <si>
    <t>shivamkumar759882@gmail.com</t>
  </si>
  <si>
    <t>Gaya</t>
  </si>
  <si>
    <t>Balaji Manoharan</t>
  </si>
  <si>
    <t>mbalamillenium@gmail.com</t>
  </si>
  <si>
    <t>Nandini Davis</t>
  </si>
  <si>
    <t>dinidavis94@gmail.com</t>
  </si>
  <si>
    <t>Arkansas</t>
  </si>
  <si>
    <t>Conway</t>
  </si>
  <si>
    <t>Heena Choudhary</t>
  </si>
  <si>
    <t>heenachoudhary422@gmail.com</t>
  </si>
  <si>
    <t>Dipanjali Thapa</t>
  </si>
  <si>
    <t>dipanjalithapa34@gmail.com</t>
  </si>
  <si>
    <t>Siliguri</t>
  </si>
  <si>
    <t>NagaVenkata Vidyasri</t>
  </si>
  <si>
    <t>vidyasri6524@gmail.com</t>
  </si>
  <si>
    <t>Anakapalle</t>
  </si>
  <si>
    <t>Diya Khetan</t>
  </si>
  <si>
    <t>khetandiya@gmail.com</t>
  </si>
  <si>
    <t>Dhanya B</t>
  </si>
  <si>
    <t>dhanya2007.co.in@gmail.com</t>
  </si>
  <si>
    <t>Tavashi Kumar</t>
  </si>
  <si>
    <t>tavashikumar.cs21@rvce.edu.in</t>
  </si>
  <si>
    <t>Sharweis Raakhaw</t>
  </si>
  <si>
    <t>sharweissharus@gmail.com</t>
  </si>
  <si>
    <t>Erode</t>
  </si>
  <si>
    <t>Pragya Singh</t>
  </si>
  <si>
    <t>pragyasr598@gmail.com</t>
  </si>
  <si>
    <t>England</t>
  </si>
  <si>
    <t>Farnborough</t>
  </si>
  <si>
    <t>Arnim Saxena</t>
  </si>
  <si>
    <t>arnimsaxena4@gmail.com</t>
  </si>
  <si>
    <t>Bijnor</t>
  </si>
  <si>
    <t>Juhi Tewari</t>
  </si>
  <si>
    <t>juhitewari19@gmail.com</t>
  </si>
  <si>
    <t>New Zealand</t>
  </si>
  <si>
    <t>Auckland</t>
  </si>
  <si>
    <t>Pradeepa Jayaprakash</t>
  </si>
  <si>
    <t>jayaprakash.pradeepa@gmail.com</t>
  </si>
  <si>
    <t>Atlanta</t>
  </si>
  <si>
    <t>Samita Prakash</t>
  </si>
  <si>
    <t>ita.ash7@gmail.com</t>
  </si>
  <si>
    <t>Ranjana Gosavi</t>
  </si>
  <si>
    <t>ranjana.gosavi@gmail.com</t>
  </si>
  <si>
    <t>Rethvik Menon</t>
  </si>
  <si>
    <t>rethvikmenonc2610@gmail.com</t>
  </si>
  <si>
    <t>Neha Gurndwal</t>
  </si>
  <si>
    <t>nehagurndwal5@gmail.com</t>
  </si>
  <si>
    <t>Ishita Bajoria</t>
  </si>
  <si>
    <t>ishitabajoria01@gmail.com</t>
  </si>
  <si>
    <t>Akshat Luniya</t>
  </si>
  <si>
    <t>akshatluniya8@gmail.com</t>
  </si>
  <si>
    <t>Oshin Oshin</t>
  </si>
  <si>
    <t>oshin9921@gmail.com</t>
  </si>
  <si>
    <t>Japan</t>
  </si>
  <si>
    <t>Miyagi</t>
  </si>
  <si>
    <t>Sendai</t>
  </si>
  <si>
    <t>Medha Ganguly</t>
  </si>
  <si>
    <t>medhaganguly06@gmail.com</t>
  </si>
  <si>
    <t>96675 49160</t>
  </si>
  <si>
    <t>Kanika Rajput</t>
  </si>
  <si>
    <t>rajputkanika1290@gmail.com</t>
  </si>
  <si>
    <t>91384 13237</t>
  </si>
  <si>
    <t>PREETKAUR Chahal</t>
  </si>
  <si>
    <t>Ireland</t>
  </si>
  <si>
    <t>Swords</t>
  </si>
  <si>
    <t>VISHAL M</t>
  </si>
  <si>
    <t>vishal.m2007123@gmail.com</t>
  </si>
  <si>
    <t>Arkaprava Biswas</t>
  </si>
  <si>
    <t>arkaprava_b@ee.iitr.ac.in</t>
  </si>
  <si>
    <t>Roorkee</t>
  </si>
  <si>
    <t>Mythili Vijayakumar</t>
  </si>
  <si>
    <t>vmythilideepak@gmail.com</t>
  </si>
  <si>
    <t>Harsh Shah</t>
  </si>
  <si>
    <t>Bharuch</t>
  </si>
  <si>
    <t>Nishu Chaudhary</t>
  </si>
  <si>
    <t>nishuchy1211@gmail.com</t>
  </si>
  <si>
    <t>prakashevidyalay@gmail.com</t>
  </si>
  <si>
    <t>Stavan Pandya</t>
  </si>
  <si>
    <t>stavanhimal@gmail.com</t>
  </si>
  <si>
    <t>Bayern</t>
  </si>
  <si>
    <t>Nuremberg</t>
  </si>
  <si>
    <t>ANUMULA Mansiakanksha</t>
  </si>
  <si>
    <t>educationalphoebe@gmail.com</t>
  </si>
  <si>
    <t>Vijayawada</t>
  </si>
  <si>
    <t>Yerik Singh</t>
  </si>
  <si>
    <t>yeriksingh88@gmail.com</t>
  </si>
  <si>
    <t>Netherlands The</t>
  </si>
  <si>
    <t>Noord-Holland</t>
  </si>
  <si>
    <t>Amsterdam</t>
  </si>
  <si>
    <t>Aditi Sharma</t>
  </si>
  <si>
    <t>aditisharmawork19@gmail.com</t>
  </si>
  <si>
    <t>Shraddha Deshmukh</t>
  </si>
  <si>
    <t>shraddhad451@gmail.com</t>
  </si>
  <si>
    <t>Sukriti Wadhwa</t>
  </si>
  <si>
    <t>sukritiwadhwa@gmail.com</t>
  </si>
  <si>
    <t>Balvinder Kandhari</t>
  </si>
  <si>
    <t>avikandhari678@gmail.com</t>
  </si>
  <si>
    <t>Kusum Sahu</t>
  </si>
  <si>
    <t>kusumsahu.ux@gmail.com</t>
  </si>
  <si>
    <t>Vishal Pawar</t>
  </si>
  <si>
    <t>vishalpawar16dec@gmail.com</t>
  </si>
  <si>
    <t>Rohit Digwalkar</t>
  </si>
  <si>
    <t>nagraj9880234377@gmail.com</t>
  </si>
  <si>
    <t>Bidar</t>
  </si>
  <si>
    <t>Purva Verma</t>
  </si>
  <si>
    <t>purvav666@gmail.com</t>
  </si>
  <si>
    <t>Natasha Bisen</t>
  </si>
  <si>
    <t>natashabisen7@gmail.com</t>
  </si>
  <si>
    <t>Gondia</t>
  </si>
  <si>
    <t>NAVIN Mehra</t>
  </si>
  <si>
    <t>navin.singh.m34@gmail.com</t>
  </si>
  <si>
    <t>Anurag Thakur</t>
  </si>
  <si>
    <t>anuraag0771@gmail.com</t>
  </si>
  <si>
    <t>Sartaj Singh</t>
  </si>
  <si>
    <t>sartajxsidhu@gmail.com</t>
  </si>
  <si>
    <t>Manitoba</t>
  </si>
  <si>
    <t>Winnipeg</t>
  </si>
  <si>
    <t>sudeshnak@iitbhilai.ac.in</t>
  </si>
  <si>
    <t>Kritika Malav</t>
  </si>
  <si>
    <t>malavkritika5@gmail.com</t>
  </si>
  <si>
    <t>Chhabra</t>
  </si>
  <si>
    <t>Yogeshkumar Sivalingam</t>
  </si>
  <si>
    <t>yk1592512427@gmail.com</t>
  </si>
  <si>
    <t>Tiruverambur</t>
  </si>
  <si>
    <t>Amar Patil</t>
  </si>
  <si>
    <t>asp2448@gmail.com</t>
  </si>
  <si>
    <t>Kolhapur</t>
  </si>
  <si>
    <t>Ragha MG</t>
  </si>
  <si>
    <t>ragha.mg@nxtgen.com</t>
  </si>
  <si>
    <t>NxtGen Cloud Technologies Pvt Ltd</t>
  </si>
  <si>
    <t>Soniya B</t>
  </si>
  <si>
    <t>soniyabagalkoti@gmail.com</t>
  </si>
  <si>
    <t>SUPRIYA DUTTA</t>
  </si>
  <si>
    <t>duttasupriya2005@gmail.com</t>
  </si>
  <si>
    <t>Samithya M</t>
  </si>
  <si>
    <t>samithyamohan@gmail.com</t>
  </si>
  <si>
    <t>Suresh Mishra</t>
  </si>
  <si>
    <t>suresh.mishra2007@gmail.com</t>
  </si>
  <si>
    <t>New Jersey</t>
  </si>
  <si>
    <t>West Windsor</t>
  </si>
  <si>
    <t>Rachna Narain</t>
  </si>
  <si>
    <t>rachnanarain69@gmail.com</t>
  </si>
  <si>
    <t>Jigyasa Jashnani</t>
  </si>
  <si>
    <t>jigyasajashnani09@gmail.com</t>
  </si>
  <si>
    <t>AMANPREET RAYAT</t>
  </si>
  <si>
    <t>amanpreetrayat05@gmail.com</t>
  </si>
  <si>
    <t>Nisha Gandhi</t>
  </si>
  <si>
    <t>dknisha223@gmail.com</t>
  </si>
  <si>
    <t>Aejaz Khan</t>
  </si>
  <si>
    <t>helpaejaz@gmail.com</t>
  </si>
  <si>
    <t>Kulgam</t>
  </si>
  <si>
    <t>DHANESHKUMAR M</t>
  </si>
  <si>
    <t>dhanesh46edu@gmail.com</t>
  </si>
  <si>
    <t>Arpit Jasrotia</t>
  </si>
  <si>
    <t>jscarpit46@gmail.com</t>
  </si>
  <si>
    <t>Prateksha Udhayanan</t>
  </si>
  <si>
    <t>pratekshau@gmail.com</t>
  </si>
  <si>
    <t>Maryland</t>
  </si>
  <si>
    <t>Hyattsville</t>
  </si>
  <si>
    <t>Sagar Verma</t>
  </si>
  <si>
    <t>sagar2006verma@gmail.com</t>
  </si>
  <si>
    <t>Saloni Malhotra</t>
  </si>
  <si>
    <t>salonimalhotra0207@gmail.com</t>
  </si>
  <si>
    <t>Nishtha Chadda</t>
  </si>
  <si>
    <t>nishtha273@gmail.com</t>
  </si>
  <si>
    <t>Dilpreet Kochar</t>
  </si>
  <si>
    <t>kochardilpreet@gmail.com</t>
  </si>
  <si>
    <t>Alwar</t>
  </si>
  <si>
    <t>Rishit Padagatti</t>
  </si>
  <si>
    <t>rishitpadagatti@gmail.com</t>
  </si>
  <si>
    <t>Ashutosh Mishra</t>
  </si>
  <si>
    <t>mrashutosh06@gmail.com</t>
  </si>
  <si>
    <t>Nisha Mishra</t>
  </si>
  <si>
    <t>manishkumarcivil16@gmail.com</t>
  </si>
  <si>
    <t>Chhapra</t>
  </si>
  <si>
    <t>Mirthula Navaneetha</t>
  </si>
  <si>
    <t>mirthulanu@gmail.com</t>
  </si>
  <si>
    <t>Shruti Gupta</t>
  </si>
  <si>
    <t>sg4887904@gmail.com</t>
  </si>
  <si>
    <t>Tani Pal</t>
  </si>
  <si>
    <t>tanipal155@gmail.com</t>
  </si>
  <si>
    <t>Chhavi Sharma</t>
  </si>
  <si>
    <t>chhavisharma639@gmail.com</t>
  </si>
  <si>
    <t>Rahul Abburu</t>
  </si>
  <si>
    <t>ar28@iitbbs.ac.in</t>
  </si>
  <si>
    <t>Tirupati</t>
  </si>
  <si>
    <t>Aritryee Chaudhury</t>
  </si>
  <si>
    <t>aritryeechaudhury@gmail.com</t>
  </si>
  <si>
    <t>Robin Thakur</t>
  </si>
  <si>
    <t>robinthakur3101@gmail.com</t>
  </si>
  <si>
    <t>Maneet Kaur</t>
  </si>
  <si>
    <t>maneetkaur1212@gmail.com</t>
  </si>
  <si>
    <t>Mohali</t>
  </si>
  <si>
    <t>Paul Isahak</t>
  </si>
  <si>
    <t>paulisahak@gmail.com</t>
  </si>
  <si>
    <t>Thrissur</t>
  </si>
  <si>
    <t>Rohit Pandit</t>
  </si>
  <si>
    <t>pandit.rohit@gmail.com</t>
  </si>
  <si>
    <t>Australia</t>
  </si>
  <si>
    <t>Victoria</t>
  </si>
  <si>
    <t>Melbourne</t>
  </si>
  <si>
    <t>Sangeetha K</t>
  </si>
  <si>
    <t>sangeethamurthy16@gmail.com</t>
  </si>
  <si>
    <t>Channapatna</t>
  </si>
  <si>
    <t>MANOPRIYA S</t>
  </si>
  <si>
    <t>manopriya.s2004@gmail.com</t>
  </si>
  <si>
    <t>SAUMYA PATWAL</t>
  </si>
  <si>
    <t>saumyapatwal0802@gmail.com</t>
  </si>
  <si>
    <t>Avinash Avinash</t>
  </si>
  <si>
    <t>iqacre@gmail.com</t>
  </si>
  <si>
    <t>Azmatgarh</t>
  </si>
  <si>
    <t>Anand Meena</t>
  </si>
  <si>
    <t>vm035866@gmail.com</t>
  </si>
  <si>
    <t>Vishal Saroya</t>
  </si>
  <si>
    <t>vishal.saroya1vs@gmail.com</t>
  </si>
  <si>
    <t>Akash Kumar</t>
  </si>
  <si>
    <t>d.37.akashkumar@gmail.com</t>
  </si>
  <si>
    <t>Dhanbad</t>
  </si>
  <si>
    <t>Anagha Gopesh</t>
  </si>
  <si>
    <t>anaghagopesh4@gmail.com</t>
  </si>
  <si>
    <t>Teeda Jashmini</t>
  </si>
  <si>
    <t>jashmini2006@gmail.com</t>
  </si>
  <si>
    <t>Srikakulam</t>
  </si>
  <si>
    <t>Piyush Mehta</t>
  </si>
  <si>
    <t>mehtapiyush075@gmail.com</t>
  </si>
  <si>
    <t>SHARAN SUREKA</t>
  </si>
  <si>
    <t>surekasharan149@gmail.com</t>
  </si>
  <si>
    <t>Varun Jain</t>
  </si>
  <si>
    <t>varunjain.jain1988@gmail.com</t>
  </si>
  <si>
    <t>Kenmore</t>
  </si>
  <si>
    <t>Harikha Naidu</t>
  </si>
  <si>
    <t>Shalini S</t>
  </si>
  <si>
    <t>sshalu486@gmail.com</t>
  </si>
  <si>
    <t>Pratul Singh</t>
  </si>
  <si>
    <t>singh.142@alumni.iitj.ac.in</t>
  </si>
  <si>
    <t>Vartika Jaiswal</t>
  </si>
  <si>
    <t>vartikajaiswal7002@gmail.com</t>
  </si>
  <si>
    <t>Abhishek Kumar</t>
  </si>
  <si>
    <t>abhishek07rubisco@gmail.com</t>
  </si>
  <si>
    <t>Rani Pal</t>
  </si>
  <si>
    <t>shokhi1999@gmail.com</t>
  </si>
  <si>
    <t>Barasat</t>
  </si>
  <si>
    <t>Lakshmi Kumari</t>
  </si>
  <si>
    <t>lakshmigupta2112@gmail.com</t>
  </si>
  <si>
    <t>Khagaria</t>
  </si>
  <si>
    <t>Prasiddha LK</t>
  </si>
  <si>
    <t>prasiddhalk.work@gmail.com</t>
  </si>
  <si>
    <t>Jatin Sarvasetty</t>
  </si>
  <si>
    <t>sjatin1308@gmail.com</t>
  </si>
  <si>
    <t>Sheetal Yadav</t>
  </si>
  <si>
    <t>sheetal8302314@gmail.com</t>
  </si>
  <si>
    <t>Bahror</t>
  </si>
  <si>
    <t>Aparna Sadasivan</t>
  </si>
  <si>
    <t>aparnapalakkatan@gmail.com</t>
  </si>
  <si>
    <t>Kozhikode</t>
  </si>
  <si>
    <t>Puneet Kaur</t>
  </si>
  <si>
    <t>puneetkaur914@gmail.com</t>
  </si>
  <si>
    <t>Amritsar</t>
  </si>
  <si>
    <t>Ramakrishnan D</t>
  </si>
  <si>
    <t>dramki2406@gmail.com</t>
  </si>
  <si>
    <t>Amanulla Tappa</t>
  </si>
  <si>
    <t>Tappashaikaman@gmail.com</t>
  </si>
  <si>
    <t>Proddatur</t>
  </si>
  <si>
    <t>Bushra Zaidi</t>
  </si>
  <si>
    <t>alisa.zaidi18@gmail.com</t>
  </si>
  <si>
    <t>soitsmanu@gmail.com</t>
  </si>
  <si>
    <t>Pallabi Mustafi</t>
  </si>
  <si>
    <t>pmustafi@fredhutch.org</t>
  </si>
  <si>
    <t>Gauri Bhagyawant</t>
  </si>
  <si>
    <t>gauribhagyawant@gmail.com</t>
  </si>
  <si>
    <t>Sathak Singh</t>
  </si>
  <si>
    <t>sarthakpratapsingh2208@gmail.com</t>
  </si>
  <si>
    <t>Patna</t>
  </si>
  <si>
    <t>Aniket Gupta</t>
  </si>
  <si>
    <t>aniket25074@iiitd.ac.in</t>
  </si>
  <si>
    <t>Indrajit Ghoshal</t>
  </si>
  <si>
    <t>poetrydarbaar@gmail.com</t>
  </si>
  <si>
    <t>Dharamshala</t>
  </si>
  <si>
    <t>Aryan Deepak</t>
  </si>
  <si>
    <t>aryandeepak0920@gmail.com</t>
  </si>
  <si>
    <t>Atharva Bhagwat</t>
  </si>
  <si>
    <t>atharva.bhagwat8742@gmail.com</t>
  </si>
  <si>
    <t>Shally Gupta</t>
  </si>
  <si>
    <t>shally_g1803@yahoo.com</t>
  </si>
  <si>
    <t>Aashi Kushwaha</t>
  </si>
  <si>
    <t>kushwaha.aashiart@gmail.com</t>
  </si>
  <si>
    <t>Anisha Sadhu</t>
  </si>
  <si>
    <t>anishasadhu2202@gmail.com</t>
  </si>
  <si>
    <t>Prateek Rajput</t>
  </si>
  <si>
    <t>rajputprateek17@gmail.com</t>
  </si>
  <si>
    <t>Luxembourg</t>
  </si>
  <si>
    <t>Zoya Lingisetty</t>
  </si>
  <si>
    <t>zoyalingisetty@gmail.com</t>
  </si>
  <si>
    <t>Prerna Bhatia</t>
  </si>
  <si>
    <t>prernabhatia17@gmail.com</t>
  </si>
  <si>
    <t>Yatharth Jain</t>
  </si>
  <si>
    <t>yatharth.vikasjain@gmail.com</t>
  </si>
  <si>
    <t>Tanmay Sharma</t>
  </si>
  <si>
    <t>tanmay.sharma1708@gmail.com</t>
  </si>
  <si>
    <t>MANAS KASHYAP</t>
  </si>
  <si>
    <t>manas0410k@gmail.com</t>
  </si>
  <si>
    <t>Prathika Selvakumar</t>
  </si>
  <si>
    <t>thatdoctor986@gmail.com</t>
  </si>
  <si>
    <t>Theni</t>
  </si>
  <si>
    <t>Vahini Bhatia</t>
  </si>
  <si>
    <t>vahinivahini04@gmail.com</t>
  </si>
  <si>
    <t>99924 74934</t>
  </si>
  <si>
    <t>Karnal</t>
  </si>
  <si>
    <t>Larisa Dsilva</t>
  </si>
  <si>
    <t>larisamd002@gmail.com</t>
  </si>
  <si>
    <t>Bahrain</t>
  </si>
  <si>
    <t>Manama</t>
  </si>
  <si>
    <t>JAYACHANDRAN S</t>
  </si>
  <si>
    <t>Palak Khemka</t>
  </si>
  <si>
    <t>palakkhemka17@gmail.com</t>
  </si>
  <si>
    <t>Kunal Arora</t>
  </si>
  <si>
    <t>dkunalarora@gmail.com</t>
  </si>
  <si>
    <t>Utkarsha Patil</t>
  </si>
  <si>
    <t>utkarshapatil2024@gmail.com</t>
  </si>
  <si>
    <t>Nandurbar</t>
  </si>
  <si>
    <t>Mehak S</t>
  </si>
  <si>
    <t>mehakpatke19@gmail.com</t>
  </si>
  <si>
    <t>Ludhiana</t>
  </si>
  <si>
    <t>Isha Shastri</t>
  </si>
  <si>
    <t>ishashastri06@gmail.com</t>
  </si>
  <si>
    <t>Banda</t>
  </si>
  <si>
    <t>Ajay Ullal</t>
  </si>
  <si>
    <t>ajayullal91@gmail.com</t>
  </si>
  <si>
    <t>harikha.chowdhary8@gmail.com</t>
  </si>
  <si>
    <t>VISHNU VARDHAN</t>
  </si>
  <si>
    <t>modukur@live.com</t>
  </si>
  <si>
    <t>Amol KOKARE</t>
  </si>
  <si>
    <t>amol.kokare@gmail.com</t>
  </si>
  <si>
    <t>Poulami Paul</t>
  </si>
  <si>
    <t>poulami.paul2021@gmail.com</t>
  </si>
  <si>
    <t>Hooghly</t>
  </si>
  <si>
    <t>Harikha M</t>
  </si>
  <si>
    <t>hunny.2005.naidu@gmail.com</t>
  </si>
  <si>
    <t>Warisha Zaman</t>
  </si>
  <si>
    <t>reticent.2006@gmail.com</t>
  </si>
  <si>
    <t>Archita Dwivedi</t>
  </si>
  <si>
    <t>architadwivedi05@gmail.com</t>
  </si>
  <si>
    <t>Akshita Shrivastava</t>
  </si>
  <si>
    <t>akishri3093@gmail.com</t>
  </si>
  <si>
    <t>Akrati Gupta</t>
  </si>
  <si>
    <t>gakrati48@gmail.com</t>
  </si>
  <si>
    <t>Firozabad</t>
  </si>
  <si>
    <t>Pranav Diwakar</t>
  </si>
  <si>
    <t>pranavdiwakar@gmail.com</t>
  </si>
  <si>
    <t>Pennsylvania</t>
  </si>
  <si>
    <t>State College</t>
  </si>
  <si>
    <t>Mohammed Rayyan</t>
  </si>
  <si>
    <t>mohammed.rayyaann@gmail.com</t>
  </si>
  <si>
    <t>VINAY KUMAR</t>
  </si>
  <si>
    <t>vinaylcdc.92@gmail.com</t>
  </si>
  <si>
    <t>Barabanki</t>
  </si>
  <si>
    <t>Rahul Gakhar</t>
  </si>
  <si>
    <t>rahulgakhar7@gmail.com</t>
  </si>
  <si>
    <t>Shahabad</t>
  </si>
  <si>
    <t>Yash Srivastava</t>
  </si>
  <si>
    <t>yash.srvstv02@gmail.com</t>
  </si>
  <si>
    <t>Dharshak Reddipalli</t>
  </si>
  <si>
    <t>rsdharshak@gmail.com</t>
  </si>
  <si>
    <t>Santa Clara</t>
  </si>
  <si>
    <t>Ishika Jha</t>
  </si>
  <si>
    <t>ishikajha52413circle@gmail.com</t>
  </si>
  <si>
    <t>Trisha More</t>
  </si>
  <si>
    <t>moretrisha00@gmail.com</t>
  </si>
  <si>
    <t>Durham</t>
  </si>
  <si>
    <t>Spennymoor</t>
  </si>
  <si>
    <t>Shruti Sarkar</t>
  </si>
  <si>
    <t>shruti.sarkar445@gmail.com</t>
  </si>
  <si>
    <t>Bolpur</t>
  </si>
  <si>
    <t>Madhumanti Banerjee</t>
  </si>
  <si>
    <t>madhumanti30@gmail.com</t>
  </si>
  <si>
    <t>Ankita Ahuja</t>
  </si>
  <si>
    <t>ankitaahuja25@gmail.com</t>
  </si>
  <si>
    <t>MONIKA PATHAK</t>
  </si>
  <si>
    <t>monikapathak600@gmail.com</t>
  </si>
  <si>
    <t>B Jyoti</t>
  </si>
  <si>
    <t>b.jyoti985@gmail.com</t>
  </si>
  <si>
    <t>Reshmi Ganguly</t>
  </si>
  <si>
    <t>reshmi2302@gmail.com</t>
  </si>
  <si>
    <t>Hertfordshire</t>
  </si>
  <si>
    <t>Meeta Yadav</t>
  </si>
  <si>
    <t>yadavmeeta2283@gmail.com</t>
  </si>
  <si>
    <t>Selvakumari Sasikumar</t>
  </si>
  <si>
    <t>selvakumarisasikumar@gmail.com</t>
  </si>
  <si>
    <t>Kavita Jacob</t>
  </si>
  <si>
    <t>Kavitajacob01@gmail.com</t>
  </si>
  <si>
    <t>Rudhrapriya Rajendran</t>
  </si>
  <si>
    <t>rrudhrapriyarp@gmail.com</t>
  </si>
  <si>
    <t>Tirupur</t>
  </si>
  <si>
    <t>Reshma Desai</t>
  </si>
  <si>
    <t>reshmadesaiwork@gmail.com</t>
  </si>
  <si>
    <t>Yashika Phore</t>
  </si>
  <si>
    <t>phoreyashika12@gmail.com</t>
  </si>
  <si>
    <t>Annapurna Jha</t>
  </si>
  <si>
    <t>jhaanu94@gmail.com</t>
  </si>
  <si>
    <t>Shrey Gupta</t>
  </si>
  <si>
    <t>work.shreygupta@gmail.com</t>
  </si>
  <si>
    <t>Himani Budhabaware</t>
  </si>
  <si>
    <t>himanibudhabaware@gmail.com</t>
  </si>
  <si>
    <t>Nishika Gupta</t>
  </si>
  <si>
    <t>nishikakumari51@gmail.com</t>
  </si>
  <si>
    <t>Karthik Sabapathy</t>
  </si>
  <si>
    <t>aksabapathy@gmail.com</t>
  </si>
  <si>
    <t>Sagrika Gargya</t>
  </si>
  <si>
    <t>sagrikagargya@gmail.com</t>
  </si>
  <si>
    <t>GARIMA JOSHI</t>
  </si>
  <si>
    <t>garimapande78@gmail.com</t>
  </si>
  <si>
    <t>Charupma Soni</t>
  </si>
  <si>
    <t>charusoni708@gmail.com</t>
  </si>
  <si>
    <t>Maihar</t>
  </si>
  <si>
    <t>Archana Kishore</t>
  </si>
  <si>
    <t>archana.kishore94@gmail.com</t>
  </si>
  <si>
    <t>Shriya Narula</t>
  </si>
  <si>
    <t>shriya.narula@chase.com</t>
  </si>
  <si>
    <t>Apparna Pradhan</t>
  </si>
  <si>
    <t>apparnapradhan55@gmail.com</t>
  </si>
  <si>
    <t>NIHARIKA MALIK</t>
  </si>
  <si>
    <t>niharikamalik32@gmail.com</t>
  </si>
  <si>
    <t>Shalu Dagar</t>
  </si>
  <si>
    <t>shalu.dagar014@gmail.com</t>
  </si>
  <si>
    <t>Bellevue</t>
  </si>
  <si>
    <t>Rashmi Pandey</t>
  </si>
  <si>
    <t>rashmijoshi1971@gmail.com</t>
  </si>
  <si>
    <t>Udaykrishna Mishra</t>
  </si>
  <si>
    <t>udaykrishnamishra6@gmail.com</t>
  </si>
  <si>
    <t>Alabhaya Meharishi</t>
  </si>
  <si>
    <t>meharishialabhaya@gmail.com</t>
  </si>
  <si>
    <t>Sneha Karnik</t>
  </si>
  <si>
    <t>snehakarnik99@gmail.com</t>
  </si>
  <si>
    <t>Giridharan K</t>
  </si>
  <si>
    <t>giridharan.krishnamurthy@gmail.com</t>
  </si>
  <si>
    <t>Nidhi Agrawal</t>
  </si>
  <si>
    <t>nidhivivek@gmail.com</t>
  </si>
  <si>
    <t>Sacramento</t>
  </si>
  <si>
    <t>Sugandha Dua</t>
  </si>
  <si>
    <t>sugandha.dua@gmail.com</t>
  </si>
  <si>
    <t>Harini Uppili</t>
  </si>
  <si>
    <t>hariniuppili@gmail.com</t>
  </si>
  <si>
    <t>Sanjana Sharma</t>
  </si>
  <si>
    <t>sanjanaworkspace2004@gmail.com</t>
  </si>
  <si>
    <t>Guwahati</t>
  </si>
  <si>
    <t>Alapan Bera</t>
  </si>
  <si>
    <t>beraalapan1998@gmail.com</t>
  </si>
  <si>
    <t>Dhanya R</t>
  </si>
  <si>
    <t>dhanyaramesh5093@gmail.com</t>
  </si>
  <si>
    <t>Sagar</t>
  </si>
  <si>
    <t>ANURADHA PANDOLE</t>
  </si>
  <si>
    <t>pandoleanuradha@gmail.com</t>
  </si>
  <si>
    <t>Bathinda</t>
  </si>
  <si>
    <t>Janani Umanatarajan</t>
  </si>
  <si>
    <t>jananiumanatrajan@gmail.com</t>
  </si>
  <si>
    <t>Shreeya Phukan</t>
  </si>
  <si>
    <t>shreeya2026@gmail.com</t>
  </si>
  <si>
    <t>Akshaya Sharma</t>
  </si>
  <si>
    <t>akshayasharma81@gmail.com</t>
  </si>
  <si>
    <t>Dahlonega</t>
  </si>
  <si>
    <t>Pushpalatha M</t>
  </si>
  <si>
    <t>m.pushpa2001@gmail.com</t>
  </si>
  <si>
    <t>Khathoon Safana</t>
  </si>
  <si>
    <t>khathoon.safana2024@teachforindia.org</t>
  </si>
  <si>
    <t>Kunal Darvaikar</t>
  </si>
  <si>
    <t>kunaldarvaikar7@gmail.com</t>
  </si>
  <si>
    <t>Chhindwara</t>
  </si>
  <si>
    <t>Divija Bhardwaj</t>
  </si>
  <si>
    <t>divijabhardwaj7@gmail.com</t>
  </si>
  <si>
    <t>SHAGUN SHARMA</t>
  </si>
  <si>
    <t>shagunlohra@gmail.com</t>
  </si>
  <si>
    <t>Greater Noida</t>
  </si>
  <si>
    <t>Rashmi Verma</t>
  </si>
  <si>
    <t>daisysubrat95@gmail.com</t>
  </si>
  <si>
    <t>Chanadhana Saravanapriyan</t>
  </si>
  <si>
    <t>chandhanaspriyan@gmail.com</t>
  </si>
  <si>
    <t>Vanshika Nandwana</t>
  </si>
  <si>
    <t>vanshikanandwana075@gmail.com</t>
  </si>
  <si>
    <t>Shri LAKSHMI</t>
  </si>
  <si>
    <t>shrisimhachalam@gmail.com</t>
  </si>
  <si>
    <t>Jyotsna Ananth</t>
  </si>
  <si>
    <t>jyotsna.ananth.25@gmail.com</t>
  </si>
  <si>
    <t>Shreya Malhotra</t>
  </si>
  <si>
    <t>mail2shreya.malhotra@gmail.com</t>
  </si>
  <si>
    <t>Swati Bishnoi</t>
  </si>
  <si>
    <t>bishnoiswati20@gmail.com</t>
  </si>
  <si>
    <t>Keerthana Velpula</t>
  </si>
  <si>
    <t>kirthivelpula28@gmail.com</t>
  </si>
  <si>
    <t>Narasaraopet</t>
  </si>
  <si>
    <t>Aishwarya N</t>
  </si>
  <si>
    <t>bnaishwarya3@gmail.com</t>
  </si>
  <si>
    <t>Mysore</t>
  </si>
  <si>
    <t>Bushra Qureshi</t>
  </si>
  <si>
    <t>bushraashhad@gmail.com</t>
  </si>
  <si>
    <t>SASMITA SURESH</t>
  </si>
  <si>
    <t>sasmitasuresh09@gmail.com</t>
  </si>
  <si>
    <t>Vishwanath Tiwari</t>
  </si>
  <si>
    <t>vtbond007@gmail.com</t>
  </si>
  <si>
    <t>Akshat Jain</t>
  </si>
  <si>
    <t>akshatj046@gmail.com</t>
  </si>
  <si>
    <t>Priyanka Laghate</t>
  </si>
  <si>
    <t>pu.laghate@gmail.com</t>
  </si>
  <si>
    <t>Sunnyvale</t>
  </si>
  <si>
    <t>Deepak Kumar</t>
  </si>
  <si>
    <t>krdeepak0507@gmail.com</t>
  </si>
  <si>
    <t>Jyoti Bansal</t>
  </si>
  <si>
    <t>jjbansal@gmail.com</t>
  </si>
  <si>
    <t>Kokila P</t>
  </si>
  <si>
    <t>keevikuttys4@gmail.com</t>
  </si>
  <si>
    <t>Ketan Gupta</t>
  </si>
  <si>
    <t>ketang9287@gmail.com</t>
  </si>
  <si>
    <t>SumantaKumar Patel</t>
  </si>
  <si>
    <t>sumantababu1@gmail.com</t>
  </si>
  <si>
    <t>Puneet Ramlani</t>
  </si>
  <si>
    <t>25mba193@iimraipur.ac.in</t>
  </si>
  <si>
    <t>Rajat Upadhyay</t>
  </si>
  <si>
    <t>rajatu211@gmail.com</t>
  </si>
  <si>
    <t>Sohna</t>
  </si>
  <si>
    <t>Manisha Saproo</t>
  </si>
  <si>
    <t>saproomanisha65@gmil.com</t>
  </si>
  <si>
    <t>Sherlin Rodrigues</t>
  </si>
  <si>
    <t>sherlin.rodrigues@gmail.com</t>
  </si>
  <si>
    <t>Jebel Ali</t>
  </si>
  <si>
    <t>Chirag Tomar</t>
  </si>
  <si>
    <t>chiragtomar2021@gmail.com</t>
  </si>
  <si>
    <t>Pratheeka C</t>
  </si>
  <si>
    <t>pratheekabackup@gmail.com</t>
  </si>
  <si>
    <t>Alok Yadav</t>
  </si>
  <si>
    <t>satyaparhar759@gmail.com</t>
  </si>
  <si>
    <t>Trisha Classes</t>
  </si>
  <si>
    <t>Harshwardhan Patil</t>
  </si>
  <si>
    <t>hpatil1616@gmail.com</t>
  </si>
  <si>
    <t>Goa</t>
  </si>
  <si>
    <t>Vasco</t>
  </si>
  <si>
    <t>Poovamma KL</t>
  </si>
  <si>
    <t>kallichandapoovamma@gmail.com</t>
  </si>
  <si>
    <t>Satyajeet Choudhary</t>
  </si>
  <si>
    <t>satyajeet824@gmail.com</t>
  </si>
  <si>
    <t>Badlapur</t>
  </si>
  <si>
    <t>AMANPREET KAUR</t>
  </si>
  <si>
    <t>rakhraaman03@gmail.com</t>
  </si>
  <si>
    <t>Moga</t>
  </si>
  <si>
    <t>SAVAR PURI</t>
  </si>
  <si>
    <t>sp369work4u@gmail.com</t>
  </si>
  <si>
    <t>Sagnik Roy</t>
  </si>
  <si>
    <t>sagnik2121@gmail.com</t>
  </si>
  <si>
    <t>SchipolRijk</t>
  </si>
  <si>
    <t>Raveena G</t>
  </si>
  <si>
    <t>raveenag776@gmail.com</t>
  </si>
  <si>
    <t>Nasreen Ahmad</t>
  </si>
  <si>
    <t>nasreenahmad.apd@gmail.com</t>
  </si>
  <si>
    <t>Trisha Das</t>
  </si>
  <si>
    <t>trishadas2005@gmail.com</t>
  </si>
  <si>
    <t>Nirvee Jain</t>
  </si>
  <si>
    <t>yournirvee@gmail.com</t>
  </si>
  <si>
    <t>Dr. Bhuvaneshwari Patil</t>
  </si>
  <si>
    <t>bsp14052001@gmail.com</t>
  </si>
  <si>
    <t>Janvi Singh</t>
  </si>
  <si>
    <t>janvi.shh14@gmail.com</t>
  </si>
  <si>
    <t>Singrauli</t>
  </si>
  <si>
    <t>Bhavya Sawhney</t>
  </si>
  <si>
    <t>bhavyasawhney2005@gmail.com</t>
  </si>
  <si>
    <t>Jammu Tawi</t>
  </si>
  <si>
    <t>Maitrayi Yadav</t>
  </si>
  <si>
    <t>maitrayiyadav@gmail.com</t>
  </si>
  <si>
    <t>Roshni Gupta</t>
  </si>
  <si>
    <t>roshnigupta09072003@gmail.com</t>
  </si>
  <si>
    <t>Jessica Lobo</t>
  </si>
  <si>
    <t>jessicatlobo@gmail.com</t>
  </si>
  <si>
    <t>Narmatha Dhandapani</t>
  </si>
  <si>
    <t>narmathadpm@gmail.com</t>
  </si>
  <si>
    <t>Gururajeshwar KN</t>
  </si>
  <si>
    <t>Anjali Yelikar</t>
  </si>
  <si>
    <t>anjaliy210@gmail.com</t>
  </si>
  <si>
    <t>Tennessee</t>
  </si>
  <si>
    <t>Nashville</t>
  </si>
  <si>
    <t>Hussain Sadriwalla</t>
  </si>
  <si>
    <t>hussainsadriwala176@gmail.com</t>
  </si>
  <si>
    <t>Anmol Agarwal</t>
  </si>
  <si>
    <t>anmolaggarwal.459111@gmail.com</t>
  </si>
  <si>
    <t>Rath</t>
  </si>
  <si>
    <t>Akriti Mishra</t>
  </si>
  <si>
    <t>shanumishra288@gmail.com</t>
  </si>
  <si>
    <t>Shahdol</t>
  </si>
  <si>
    <t>Nadeem C</t>
  </si>
  <si>
    <t>cnadeem279@gmail.com</t>
  </si>
  <si>
    <t>Sana Khan</t>
  </si>
  <si>
    <t>sanakhan52304@gmail.com</t>
  </si>
  <si>
    <t>Alok Tamrakar</t>
  </si>
  <si>
    <t>aloktamrakar2@gmail.com</t>
  </si>
  <si>
    <t>Shruti Patil</t>
  </si>
  <si>
    <t>shruti.rcp@gmail.com</t>
  </si>
  <si>
    <t>Singapore</t>
  </si>
  <si>
    <t>Satakshi Sahu</t>
  </si>
  <si>
    <t>satakshisahu9@gmail.com</t>
  </si>
  <si>
    <t>Prachi Agarwal</t>
  </si>
  <si>
    <t>pagrawal024@gmail.com</t>
  </si>
  <si>
    <t>Kritika Sharma</t>
  </si>
  <si>
    <t>Kritikaswm1148@gmail.com</t>
  </si>
  <si>
    <t>Jodhpur</t>
  </si>
  <si>
    <t>Arunima Singh</t>
  </si>
  <si>
    <t>arunima.singh.1411.2708@gmail.com</t>
  </si>
  <si>
    <t>Mounasree Pothireddy</t>
  </si>
  <si>
    <t>mounasreepothireddy@gmail.com</t>
  </si>
  <si>
    <t>Kuppam</t>
  </si>
  <si>
    <t>Vedika Gupta</t>
  </si>
  <si>
    <t>vedxkaa11@gmail.com</t>
  </si>
  <si>
    <t>Eesha Munshi</t>
  </si>
  <si>
    <t>eeshamunshi23@gmail.com</t>
  </si>
  <si>
    <t>Belluru</t>
  </si>
  <si>
    <t>Sonal Yadav</t>
  </si>
  <si>
    <t>yadavsonal212005@gmail.com</t>
  </si>
  <si>
    <t>Sumridhi Kaur</t>
  </si>
  <si>
    <t>samridhiarora2110@gmail.com</t>
  </si>
  <si>
    <t>New York</t>
  </si>
  <si>
    <t>Richa Biswas</t>
  </si>
  <si>
    <t>richabiswas1030@gmail.com</t>
  </si>
  <si>
    <t>Mahima Srivastava</t>
  </si>
  <si>
    <t>mahima.srivastava1196@gmail.com</t>
  </si>
  <si>
    <t>Trisha Pratapwar</t>
  </si>
  <si>
    <t>trishapratapwar@gmail.com</t>
  </si>
  <si>
    <t>Apoorva Salunkhe</t>
  </si>
  <si>
    <t>apoorva.salunkhe1@gmail.com</t>
  </si>
  <si>
    <t>Lavanya Venkat</t>
  </si>
  <si>
    <t>laragraphics@yahoo.co.in</t>
  </si>
  <si>
    <t>ARUN CHITHRABHANU</t>
  </si>
  <si>
    <t>chithrabhanu.arun@christuniversity.in</t>
  </si>
  <si>
    <t>Kengeri</t>
  </si>
  <si>
    <t>Ayush Gupta</t>
  </si>
  <si>
    <t>ag9877854070@gmail.com</t>
  </si>
  <si>
    <t>Kiren Choudhury</t>
  </si>
  <si>
    <t>uscbb23140@stu.xim.edu.in</t>
  </si>
  <si>
    <t>Berhampur</t>
  </si>
  <si>
    <t>Sirisha Kokkiragedda</t>
  </si>
  <si>
    <t>sirisha.kokkiragedda@gmail.com</t>
  </si>
  <si>
    <t>Sreevathsan V</t>
  </si>
  <si>
    <t>sreevathsan1906@gmail.com</t>
  </si>
  <si>
    <t>Shivangi Gautam</t>
  </si>
  <si>
    <t>gautamshivangi509@gmail.com</t>
  </si>
  <si>
    <t>Harshita Kothari</t>
  </si>
  <si>
    <t>hk200302@gmail.com</t>
  </si>
  <si>
    <t>Aman Usman</t>
  </si>
  <si>
    <t>amanusman.lko3@gmail.com</t>
  </si>
  <si>
    <t>Manoj Kumar</t>
  </si>
  <si>
    <t>itsvenkatamanojkumar@gmail.com</t>
  </si>
  <si>
    <t>Muskan Muskan</t>
  </si>
  <si>
    <t>muskankaim05@gmail.com</t>
  </si>
  <si>
    <t>Saroj Gohil</t>
  </si>
  <si>
    <t>sarojgohil82@gmail.com</t>
  </si>
  <si>
    <t>Vikas Bagga</t>
  </si>
  <si>
    <t>vikasbagga@pehlaakshar.org</t>
  </si>
  <si>
    <t>Pehla akshar</t>
  </si>
  <si>
    <t>Khushi Bhardwaj</t>
  </si>
  <si>
    <t>khushibhardwaj611@gmail.com</t>
  </si>
  <si>
    <t>Palwal</t>
  </si>
  <si>
    <t>Himansha Baweja</t>
  </si>
  <si>
    <t>bawejahimansha@gmail.com</t>
  </si>
  <si>
    <t>Nishita Jain</t>
  </si>
  <si>
    <t>jnishita1991@gmail.com</t>
  </si>
  <si>
    <t>Akanksha Yadav</t>
  </si>
  <si>
    <t>akankshayadav92@gmail.com</t>
  </si>
  <si>
    <t>Dibrugarh</t>
  </si>
  <si>
    <t>Etasha Tiwari</t>
  </si>
  <si>
    <t>tiwarietasha23@gmail.com</t>
  </si>
  <si>
    <t>Dimpal M</t>
  </si>
  <si>
    <t>Udaipur</t>
  </si>
  <si>
    <t>Gia B</t>
  </si>
  <si>
    <t>smenezes2013@gmail.com</t>
  </si>
  <si>
    <t>Arthi Murugan</t>
  </si>
  <si>
    <t>arthimrgn02@gmail.com</t>
  </si>
  <si>
    <t>Yash Soni</t>
  </si>
  <si>
    <t>yash108soni@gmail.com</t>
  </si>
  <si>
    <t>Orai</t>
  </si>
  <si>
    <t>GAYATRI GUPTA</t>
  </si>
  <si>
    <t>gayatrigupta2011@gmail.com</t>
  </si>
  <si>
    <t>Arvind Agnihotri</t>
  </si>
  <si>
    <t>devashishagnihotri@gmail.com</t>
  </si>
  <si>
    <t>Poojita Garg</t>
  </si>
  <si>
    <t>gargpoojita@gmail.com</t>
  </si>
  <si>
    <t>Venkata Pullabhotla</t>
  </si>
  <si>
    <t>vp25@rice.edu</t>
  </si>
  <si>
    <t>Houston</t>
  </si>
  <si>
    <t>aditisharma070508@gmail.com</t>
  </si>
  <si>
    <t>sharmaaditi00009@gamil.com</t>
  </si>
  <si>
    <t>Shivdeep Singh</t>
  </si>
  <si>
    <t>shivdeep453@gmail.com</t>
  </si>
  <si>
    <t>Merwin Joshwa</t>
  </si>
  <si>
    <t>joshwamerwin81@gmail.com</t>
  </si>
  <si>
    <t>Thanjavur</t>
  </si>
  <si>
    <t>Isha More</t>
  </si>
  <si>
    <t>ipmore21@gmail.com</t>
  </si>
  <si>
    <t>b24edc013@iitj.ac.in</t>
  </si>
  <si>
    <t>Moksh A</t>
  </si>
  <si>
    <t>mokshkumbla@gmail.com</t>
  </si>
  <si>
    <t>Preet Kaushik</t>
  </si>
  <si>
    <t>preetkaushik006@gmail.com</t>
  </si>
  <si>
    <t>Deepali Anjna</t>
  </si>
  <si>
    <t>deepalianjna@gmail.com</t>
  </si>
  <si>
    <t>Kavya Shah</t>
  </si>
  <si>
    <t>kavy378@gmail.com</t>
  </si>
  <si>
    <t>Gandhinagar</t>
  </si>
  <si>
    <t>Monika Dhankhar</t>
  </si>
  <si>
    <t>monadhankhar11@gmail.com</t>
  </si>
  <si>
    <t>Jhajjar</t>
  </si>
  <si>
    <t>Akhila Mangalvedhekar</t>
  </si>
  <si>
    <t>akhilamm@gmail.com</t>
  </si>
  <si>
    <t>Anushka Kanade</t>
  </si>
  <si>
    <t>1anushkanade@gmail.com</t>
  </si>
  <si>
    <t>86690 62778</t>
  </si>
  <si>
    <t>Vivek Prasad</t>
  </si>
  <si>
    <t>therapyofthetimes@gmail.com</t>
  </si>
  <si>
    <t>Minnesota</t>
  </si>
  <si>
    <t>Rochester</t>
  </si>
  <si>
    <t>Anuj Namdeo</t>
  </si>
  <si>
    <t>namdeoanuj15052001@gmail.com</t>
  </si>
  <si>
    <t>Aparna Nair</t>
  </si>
  <si>
    <t>aparna.snair24@gmail.com</t>
  </si>
  <si>
    <t>Kochi</t>
  </si>
  <si>
    <t>Shakshi Negi</t>
  </si>
  <si>
    <t>shakshinegi94@gmai.com</t>
  </si>
  <si>
    <t>Markandan Ramadoss</t>
  </si>
  <si>
    <t>rmarkandan@yahoo.com</t>
  </si>
  <si>
    <t>Adrika Juglan</t>
  </si>
  <si>
    <t>juglanadrika737@gmail.com</t>
  </si>
  <si>
    <t>Rishikesh</t>
  </si>
  <si>
    <t>Chandan Panda</t>
  </si>
  <si>
    <t>chandanpanda615@gmail.com</t>
  </si>
  <si>
    <t>Anushree Khare</t>
  </si>
  <si>
    <t>anushreekhare00@gmail.com</t>
  </si>
  <si>
    <t>Piu Adhikary</t>
  </si>
  <si>
    <t>piuadhikary29@gmail.com</t>
  </si>
  <si>
    <t>DebiPrassd Bagria</t>
  </si>
  <si>
    <t>dp.bagria101@gmail.com</t>
  </si>
  <si>
    <t>Diksha DIKSHA</t>
  </si>
  <si>
    <t>diksha992727@gmail.com</t>
  </si>
  <si>
    <t>Nitin Somu</t>
  </si>
  <si>
    <t>nitin.somu13@gmail.com</t>
  </si>
  <si>
    <t>Diksha Mehta</t>
  </si>
  <si>
    <t>dikshhamehta@gmail.com</t>
  </si>
  <si>
    <t>THARUN GM</t>
  </si>
  <si>
    <t>gmtprofe@gmail.com</t>
  </si>
  <si>
    <t>ask.rohand@gmail.com</t>
  </si>
  <si>
    <t>Abhinanda Nandi</t>
  </si>
  <si>
    <t>abhinandanandiofficial@gmail.com</t>
  </si>
  <si>
    <t>Uttarpara-Kotrung</t>
  </si>
  <si>
    <t>Ananya Daksh</t>
  </si>
  <si>
    <t>ananyadaksh99@gmail.com</t>
  </si>
  <si>
    <t>Shifa Zafar</t>
  </si>
  <si>
    <t>shifazafar54@gmail.com</t>
  </si>
  <si>
    <t>Pilani</t>
  </si>
  <si>
    <t>Navya Choudhary</t>
  </si>
  <si>
    <t>nnavyaa34@gmail.com</t>
  </si>
  <si>
    <t>Jannani Karan</t>
  </si>
  <si>
    <t>jannanikaran21@gmail.com</t>
  </si>
  <si>
    <t>Thiruchirapalli</t>
  </si>
  <si>
    <t>Laksh Chhabra</t>
  </si>
  <si>
    <t>lakshchhabra006@gmail.com</t>
  </si>
  <si>
    <t>Punit Marathe</t>
  </si>
  <si>
    <t>punitmarathe1@gmail.com</t>
  </si>
  <si>
    <t>Pravallika J</t>
  </si>
  <si>
    <t>jpravallika7@gmail.com</t>
  </si>
  <si>
    <t>S Aditya</t>
  </si>
  <si>
    <t>adityas02532@gmail.com</t>
  </si>
  <si>
    <t>Malaya Panda</t>
  </si>
  <si>
    <t>pandamalayakumar4@gmail.com</t>
  </si>
  <si>
    <t>Junagarh</t>
  </si>
  <si>
    <t>Abhishek Padmanabhan</t>
  </si>
  <si>
    <t>Abhipaddy@gmail.com</t>
  </si>
  <si>
    <t>Raghavendra Tomar</t>
  </si>
  <si>
    <t>jitendraraghavendra@gmail.com</t>
  </si>
  <si>
    <t>PIU DASGUPTA</t>
  </si>
  <si>
    <t>Dilkash Ambreen</t>
  </si>
  <si>
    <t>dil891993@gmail.com</t>
  </si>
  <si>
    <t>Balasore</t>
  </si>
  <si>
    <t>Anshul Bhardwaj</t>
  </si>
  <si>
    <t>anshu.bhardwaj1995@gmail.com</t>
  </si>
  <si>
    <t>Gangapur</t>
  </si>
  <si>
    <t>Shrea Sharma</t>
  </si>
  <si>
    <t>shreasharma14@gmail.com</t>
  </si>
  <si>
    <t>Bommasandra</t>
  </si>
  <si>
    <t>Swarali Godse</t>
  </si>
  <si>
    <t>swarali.1003@gmail.com</t>
  </si>
  <si>
    <t>Pradipthi Bammidi</t>
  </si>
  <si>
    <t>pradipthib@gmail.com</t>
  </si>
  <si>
    <t>Manalapan</t>
  </si>
  <si>
    <t>Abhinav Bajaj</t>
  </si>
  <si>
    <t>abhinav_bajaj2009@yahoo.com</t>
  </si>
  <si>
    <t>Jersey City</t>
  </si>
  <si>
    <t>Deb Mukherjee</t>
  </si>
  <si>
    <t>debmukherjee@hotmail.com</t>
  </si>
  <si>
    <t>Desert Hot Springs</t>
  </si>
  <si>
    <t>Shantanoo Apte</t>
  </si>
  <si>
    <t>apteshantanoo@gmail.com</t>
  </si>
  <si>
    <t>Aditi Dhamdhere</t>
  </si>
  <si>
    <t>aditidhamdhere4@gmail.com</t>
  </si>
  <si>
    <t>Shreeraksha Sangli</t>
  </si>
  <si>
    <t>shreerakshasangli006@gmail.com</t>
  </si>
  <si>
    <t>Swapnil Pal</t>
  </si>
  <si>
    <t>swapnilpal109@gmail.com</t>
  </si>
  <si>
    <t>Neha Kaur</t>
  </si>
  <si>
    <t>Siddhartha Mishra</t>
  </si>
  <si>
    <t>siddhartha691@gmail.com</t>
  </si>
  <si>
    <t>Chaitanya SM</t>
  </si>
  <si>
    <t>chaitanyasmsgr@gmail.com</t>
  </si>
  <si>
    <t>Suman Agarwal</t>
  </si>
  <si>
    <t>aditiagarwal30nov@gmail.com</t>
  </si>
  <si>
    <t>Turkey</t>
  </si>
  <si>
    <t>Balikesir</t>
  </si>
  <si>
    <t>Bandirma</t>
  </si>
  <si>
    <t>Aakansha Singh</t>
  </si>
  <si>
    <t>aakanshasingh8800@gmail.com</t>
  </si>
  <si>
    <t>Mickelson Lyngdoh</t>
  </si>
  <si>
    <t>mickelsonlyngdoh@gmail.com</t>
  </si>
  <si>
    <t>Meghalaya</t>
  </si>
  <si>
    <t>Shillong</t>
  </si>
  <si>
    <t>Shivangi Chandra</t>
  </si>
  <si>
    <t>shivangichandr@hotmail.com</t>
  </si>
  <si>
    <t>Arushi Malavia</t>
  </si>
  <si>
    <t>arushi.malavia17@gmail.com</t>
  </si>
  <si>
    <t>Mansi Ahuja</t>
  </si>
  <si>
    <t>ahujamansi2609@gmail.com</t>
  </si>
  <si>
    <t>RANJAN BORAH</t>
  </si>
  <si>
    <t>ranjhim@gmail.com</t>
  </si>
  <si>
    <t>Bhilai</t>
  </si>
  <si>
    <t>Avishikta Dutta</t>
  </si>
  <si>
    <t>avishiktadutta2005@yahoo.co.in</t>
  </si>
  <si>
    <t>Bharti Kumari</t>
  </si>
  <si>
    <t>Rohan Khatana</t>
  </si>
  <si>
    <t>rohankhatana2000@gmail.com</t>
  </si>
  <si>
    <t>Qainat Daruwala</t>
  </si>
  <si>
    <t>kdaruwala14@gmail.com</t>
  </si>
  <si>
    <t>Ahmednagar</t>
  </si>
  <si>
    <t>Sapna Sablok</t>
  </si>
  <si>
    <t>sapna.sablok1981@gmail.com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</si>
</sst>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m/dd/yy"/>
  </numFmts>
  <fonts count="9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bottom style="thin">
        <color rgb="FF8EA9DB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3" xfId="0" applyAlignment="1" applyFont="1" applyNumberFormat="1">
      <alignment readingOrder="0" shrinkToFit="0" vertical="bottom" wrapText="0"/>
    </xf>
    <xf borderId="1" fillId="2" fontId="6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0" fillId="0" fontId="5" numFmtId="0" xfId="0" applyFont="1"/>
    <xf borderId="0" fillId="0" fontId="3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5"/>
    <col customWidth="1" min="9" max="9" width="22.63"/>
    <col customWidth="1" min="10" max="10" width="20.5"/>
    <col customWidth="1" min="24" max="24" width="8.88"/>
    <col customWidth="1" min="25" max="25" width="9.88"/>
    <col customWidth="1" min="26" max="26" width="6.0"/>
    <col customWidth="1" min="27" max="27" width="27.75"/>
    <col customWidth="1" min="28" max="28" width="9.75"/>
    <col customWidth="1" min="29" max="29" width="8.38"/>
    <col customWidth="1" min="30" max="30" width="8.25"/>
    <col customWidth="1" min="31" max="31" width="7.88"/>
    <col customWidth="1" min="32" max="32" width="7.38"/>
    <col customWidth="1" min="33" max="33" width="7.25"/>
    <col customWidth="1" min="34" max="34" width="7.75"/>
    <col customWidth="1" min="35" max="35" width="9.63"/>
    <col customWidth="1" min="36" max="36" width="10.13"/>
    <col customWidth="1" min="37" max="37" width="6.63"/>
    <col customWidth="1" min="38" max="38" width="9.0"/>
    <col customWidth="1" min="39" max="40" width="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  <c r="AO1" s="1" t="s">
        <v>40</v>
      </c>
    </row>
    <row r="2">
      <c r="A2" s="3" t="s">
        <v>41</v>
      </c>
      <c r="B2" s="4">
        <v>40368.0</v>
      </c>
      <c r="C2" s="4" t="s">
        <v>42</v>
      </c>
      <c r="D2" s="4" t="s">
        <v>43</v>
      </c>
      <c r="E2" s="3" t="s">
        <v>44</v>
      </c>
      <c r="F2" s="4">
        <v>79440.0</v>
      </c>
      <c r="G2" s="3" t="s">
        <v>45</v>
      </c>
      <c r="H2" s="3" t="s">
        <v>46</v>
      </c>
      <c r="I2" s="4">
        <v>9.417530955E9</v>
      </c>
      <c r="J2" s="5">
        <v>45662.522256944445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6">
        <v>46147.0</v>
      </c>
      <c r="Q2" s="7" t="s">
        <v>52</v>
      </c>
      <c r="R2" s="4">
        <v>1948.0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4">
        <v>7.0</v>
      </c>
      <c r="AA2" s="3" t="s">
        <v>60</v>
      </c>
      <c r="AB2" s="7">
        <v>36.0</v>
      </c>
      <c r="AC2" s="7">
        <v>0.0</v>
      </c>
      <c r="AD2" s="7">
        <v>36.0</v>
      </c>
      <c r="AE2" s="7">
        <v>30.0</v>
      </c>
      <c r="AF2" s="7">
        <v>0.0</v>
      </c>
      <c r="AG2" s="7">
        <v>30.0</v>
      </c>
      <c r="AH2" s="7">
        <v>6.0</v>
      </c>
      <c r="AI2" s="7">
        <v>0.0</v>
      </c>
      <c r="AJ2" s="7">
        <v>5.0</v>
      </c>
      <c r="AK2" s="7">
        <v>1.0</v>
      </c>
      <c r="AL2" s="7">
        <v>0.0</v>
      </c>
      <c r="AM2" s="7">
        <v>6.0</v>
      </c>
      <c r="AN2" s="8">
        <v>45.0</v>
      </c>
      <c r="AO2" s="4">
        <v>57.69</v>
      </c>
    </row>
    <row r="3">
      <c r="A3" s="3" t="s">
        <v>41</v>
      </c>
      <c r="B3" s="4">
        <v>40243.0</v>
      </c>
      <c r="C3" s="9">
        <v>46026.0</v>
      </c>
      <c r="D3" s="4" t="s">
        <v>43</v>
      </c>
      <c r="E3" s="3" t="s">
        <v>44</v>
      </c>
      <c r="F3" s="4">
        <v>88329.0</v>
      </c>
      <c r="G3" s="3" t="s">
        <v>61</v>
      </c>
      <c r="H3" s="3" t="s">
        <v>62</v>
      </c>
      <c r="I3" s="4">
        <v>9.766448831E9</v>
      </c>
      <c r="J3" s="5">
        <v>46048.76006944444</v>
      </c>
      <c r="K3" s="3" t="s">
        <v>47</v>
      </c>
      <c r="L3" s="3" t="s">
        <v>63</v>
      </c>
      <c r="M3" s="3" t="s">
        <v>64</v>
      </c>
      <c r="N3" s="3" t="s">
        <v>50</v>
      </c>
      <c r="O3" s="3" t="s">
        <v>65</v>
      </c>
      <c r="P3" s="6">
        <v>46027.0</v>
      </c>
      <c r="Q3" s="7" t="s">
        <v>66</v>
      </c>
      <c r="R3" s="4">
        <v>1791.0</v>
      </c>
      <c r="S3" s="3" t="s">
        <v>67</v>
      </c>
      <c r="T3" s="3" t="s">
        <v>54</v>
      </c>
      <c r="U3" s="3" t="s">
        <v>68</v>
      </c>
      <c r="V3" s="3" t="s">
        <v>69</v>
      </c>
      <c r="W3" s="3" t="s">
        <v>70</v>
      </c>
      <c r="X3" s="3" t="s">
        <v>58</v>
      </c>
      <c r="Y3" s="3" t="s">
        <v>59</v>
      </c>
      <c r="Z3" s="4">
        <v>6.0</v>
      </c>
      <c r="AA3" s="3" t="s">
        <v>60</v>
      </c>
      <c r="AB3" s="7">
        <v>127.0</v>
      </c>
      <c r="AC3" s="7">
        <v>0.0</v>
      </c>
      <c r="AD3" s="7">
        <v>127.0</v>
      </c>
      <c r="AE3" s="7">
        <v>92.0</v>
      </c>
      <c r="AF3" s="7">
        <v>0.0</v>
      </c>
      <c r="AG3" s="7">
        <v>92.0</v>
      </c>
      <c r="AH3" s="7">
        <v>8.0</v>
      </c>
      <c r="AI3" s="7">
        <v>0.0</v>
      </c>
      <c r="AJ3" s="7">
        <v>8.0</v>
      </c>
      <c r="AK3" s="7">
        <v>0.0</v>
      </c>
      <c r="AL3" s="7">
        <v>0.0</v>
      </c>
      <c r="AM3" s="7">
        <v>8.0</v>
      </c>
      <c r="AN3" s="8">
        <v>128.0</v>
      </c>
      <c r="AO3" s="4">
        <v>100.0</v>
      </c>
    </row>
    <row r="4">
      <c r="A4" s="3" t="s">
        <v>41</v>
      </c>
      <c r="B4" s="4">
        <v>40282.0</v>
      </c>
      <c r="C4" s="9">
        <v>46026.0</v>
      </c>
      <c r="D4" s="4" t="s">
        <v>43</v>
      </c>
      <c r="E4" s="3" t="s">
        <v>44</v>
      </c>
      <c r="F4" s="4">
        <v>79688.0</v>
      </c>
      <c r="G4" s="3" t="s">
        <v>71</v>
      </c>
      <c r="H4" s="3" t="s">
        <v>72</v>
      </c>
      <c r="I4" s="4">
        <v>9.78E9</v>
      </c>
      <c r="J4" s="5">
        <v>45672.452199074076</v>
      </c>
      <c r="K4" s="3" t="s">
        <v>47</v>
      </c>
      <c r="L4" s="3" t="s">
        <v>73</v>
      </c>
      <c r="M4" s="3" t="s">
        <v>74</v>
      </c>
      <c r="N4" s="3" t="s">
        <v>75</v>
      </c>
      <c r="O4" s="3" t="s">
        <v>76</v>
      </c>
      <c r="P4" s="6">
        <v>46147.0</v>
      </c>
      <c r="Q4" s="7" t="s">
        <v>77</v>
      </c>
      <c r="R4" s="4">
        <v>1787.0</v>
      </c>
      <c r="S4" s="3" t="s">
        <v>78</v>
      </c>
      <c r="T4" s="3" t="s">
        <v>54</v>
      </c>
      <c r="U4" s="3" t="s">
        <v>79</v>
      </c>
      <c r="V4" s="3" t="s">
        <v>69</v>
      </c>
      <c r="W4" s="3" t="s">
        <v>70</v>
      </c>
      <c r="X4" s="3" t="s">
        <v>58</v>
      </c>
      <c r="Y4" s="3" t="s">
        <v>59</v>
      </c>
      <c r="Z4" s="4">
        <v>8.0</v>
      </c>
      <c r="AA4" s="3" t="s">
        <v>80</v>
      </c>
      <c r="AB4" s="7">
        <v>121.0</v>
      </c>
      <c r="AC4" s="7">
        <v>0.0</v>
      </c>
      <c r="AD4" s="7">
        <v>121.0</v>
      </c>
      <c r="AE4" s="7">
        <v>90.0</v>
      </c>
      <c r="AF4" s="7">
        <v>0.0</v>
      </c>
      <c r="AG4" s="7">
        <v>90.0</v>
      </c>
      <c r="AH4" s="7">
        <v>8.0</v>
      </c>
      <c r="AI4" s="7">
        <v>0.0</v>
      </c>
      <c r="AJ4" s="7">
        <v>8.0</v>
      </c>
      <c r="AK4" s="7">
        <v>0.0</v>
      </c>
      <c r="AL4" s="7">
        <v>0.0</v>
      </c>
      <c r="AM4" s="7">
        <v>8.0</v>
      </c>
      <c r="AN4" s="8">
        <v>276.0</v>
      </c>
      <c r="AO4" s="4">
        <v>98.57</v>
      </c>
    </row>
    <row r="5">
      <c r="A5" s="3" t="s">
        <v>41</v>
      </c>
      <c r="B5" s="4">
        <v>40219.0</v>
      </c>
      <c r="C5" s="9">
        <v>46026.0</v>
      </c>
      <c r="D5" s="4" t="s">
        <v>81</v>
      </c>
      <c r="E5" s="3" t="s">
        <v>44</v>
      </c>
      <c r="F5" s="4">
        <v>89254.0</v>
      </c>
      <c r="G5" s="3" t="s">
        <v>82</v>
      </c>
      <c r="H5" s="3" t="s">
        <v>83</v>
      </c>
      <c r="I5" s="4">
        <v>8.369227724E9</v>
      </c>
      <c r="J5" s="5">
        <v>46108.810219907406</v>
      </c>
      <c r="K5" s="3" t="s">
        <v>47</v>
      </c>
      <c r="L5" s="3" t="s">
        <v>84</v>
      </c>
      <c r="M5" s="3" t="s">
        <v>64</v>
      </c>
      <c r="N5" s="3" t="s">
        <v>50</v>
      </c>
      <c r="O5" s="3" t="s">
        <v>51</v>
      </c>
      <c r="P5" s="6">
        <v>46117.0</v>
      </c>
      <c r="Q5" s="7" t="s">
        <v>85</v>
      </c>
      <c r="R5" s="4">
        <v>1984.0</v>
      </c>
      <c r="S5" s="3" t="s">
        <v>86</v>
      </c>
      <c r="T5" s="3" t="s">
        <v>87</v>
      </c>
      <c r="U5" s="3" t="s">
        <v>88</v>
      </c>
      <c r="V5" s="3" t="s">
        <v>89</v>
      </c>
      <c r="W5" s="3" t="s">
        <v>57</v>
      </c>
      <c r="X5" s="3" t="s">
        <v>58</v>
      </c>
      <c r="Y5" s="3" t="s">
        <v>59</v>
      </c>
      <c r="Z5" s="4">
        <v>7.0</v>
      </c>
      <c r="AA5" s="3" t="s">
        <v>90</v>
      </c>
      <c r="AB5" s="7">
        <v>41.0</v>
      </c>
      <c r="AC5" s="7">
        <v>23.0</v>
      </c>
      <c r="AD5" s="7">
        <v>18.0</v>
      </c>
      <c r="AE5" s="7">
        <v>41.0</v>
      </c>
      <c r="AF5" s="7">
        <v>23.0</v>
      </c>
      <c r="AG5" s="7">
        <v>18.0</v>
      </c>
      <c r="AH5" s="7">
        <v>7.0</v>
      </c>
      <c r="AI5" s="7">
        <v>0.0</v>
      </c>
      <c r="AJ5" s="7">
        <v>4.0</v>
      </c>
      <c r="AK5" s="7">
        <v>0.0</v>
      </c>
      <c r="AL5" s="7">
        <v>3.0</v>
      </c>
      <c r="AM5" s="7">
        <v>4.0</v>
      </c>
      <c r="AN5" s="8">
        <v>46.0</v>
      </c>
      <c r="AO5" s="4">
        <v>88.46</v>
      </c>
    </row>
    <row r="6">
      <c r="A6" s="3" t="s">
        <v>41</v>
      </c>
      <c r="B6" s="4">
        <v>40366.0</v>
      </c>
      <c r="C6" s="4" t="s">
        <v>42</v>
      </c>
      <c r="D6" s="4" t="s">
        <v>91</v>
      </c>
      <c r="E6" s="3" t="s">
        <v>44</v>
      </c>
      <c r="F6" s="4">
        <v>87441.0</v>
      </c>
      <c r="G6" s="3" t="s">
        <v>92</v>
      </c>
      <c r="H6" s="3" t="s">
        <v>93</v>
      </c>
      <c r="I6" s="3">
        <v>9.958535393E9</v>
      </c>
      <c r="J6" s="5">
        <v>46002.319918981484</v>
      </c>
      <c r="K6" s="5"/>
      <c r="L6" s="3" t="s">
        <v>94</v>
      </c>
      <c r="M6" s="3" t="s">
        <v>64</v>
      </c>
      <c r="N6" s="3" t="s">
        <v>50</v>
      </c>
      <c r="O6" s="3" t="s">
        <v>65</v>
      </c>
      <c r="P6" s="6">
        <v>46117.0</v>
      </c>
      <c r="Q6" s="7" t="s">
        <v>95</v>
      </c>
      <c r="R6" s="4">
        <v>1950.0</v>
      </c>
      <c r="S6" s="3" t="s">
        <v>96</v>
      </c>
      <c r="T6" s="3" t="s">
        <v>54</v>
      </c>
      <c r="U6" s="3" t="s">
        <v>55</v>
      </c>
      <c r="V6" s="3" t="s">
        <v>56</v>
      </c>
      <c r="W6" s="3" t="s">
        <v>57</v>
      </c>
      <c r="X6" s="3" t="s">
        <v>58</v>
      </c>
      <c r="Y6" s="3" t="s">
        <v>59</v>
      </c>
      <c r="Z6" s="4">
        <v>7.0</v>
      </c>
      <c r="AA6" s="3" t="s">
        <v>60</v>
      </c>
      <c r="AB6" s="7">
        <v>60.0</v>
      </c>
      <c r="AC6" s="7">
        <v>0.0</v>
      </c>
      <c r="AD6" s="7">
        <v>60.0</v>
      </c>
      <c r="AE6" s="7">
        <v>58.0</v>
      </c>
      <c r="AF6" s="7">
        <v>0.0</v>
      </c>
      <c r="AG6" s="7">
        <v>58.0</v>
      </c>
      <c r="AH6" s="7">
        <v>6.0</v>
      </c>
      <c r="AI6" s="7">
        <v>0.0</v>
      </c>
      <c r="AJ6" s="7">
        <v>5.0</v>
      </c>
      <c r="AK6" s="7">
        <v>1.0</v>
      </c>
      <c r="AL6" s="7">
        <v>0.0</v>
      </c>
      <c r="AM6" s="7">
        <v>6.0</v>
      </c>
      <c r="AN6" s="8">
        <v>81.0</v>
      </c>
      <c r="AO6" s="4">
        <v>57.04</v>
      </c>
    </row>
    <row r="7">
      <c r="A7" s="3" t="s">
        <v>41</v>
      </c>
      <c r="B7" s="4">
        <v>40237.0</v>
      </c>
      <c r="C7" s="9">
        <v>46026.0</v>
      </c>
      <c r="D7" s="4" t="s">
        <v>43</v>
      </c>
      <c r="E7" s="3" t="s">
        <v>44</v>
      </c>
      <c r="F7" s="4">
        <v>87056.0</v>
      </c>
      <c r="G7" s="3" t="s">
        <v>97</v>
      </c>
      <c r="H7" s="3" t="s">
        <v>98</v>
      </c>
      <c r="I7" s="4">
        <v>9.032852668E9</v>
      </c>
      <c r="J7" s="5">
        <v>45986.951377314814</v>
      </c>
      <c r="K7" s="3" t="s">
        <v>47</v>
      </c>
      <c r="L7" s="3" t="s">
        <v>99</v>
      </c>
      <c r="M7" s="3" t="s">
        <v>100</v>
      </c>
      <c r="N7" s="3" t="s">
        <v>50</v>
      </c>
      <c r="O7" s="3" t="s">
        <v>101</v>
      </c>
      <c r="P7" s="6">
        <v>46027.0</v>
      </c>
      <c r="Q7" s="7" t="s">
        <v>66</v>
      </c>
      <c r="R7" s="4">
        <v>1774.0</v>
      </c>
      <c r="S7" s="3" t="s">
        <v>102</v>
      </c>
      <c r="T7" s="3" t="s">
        <v>54</v>
      </c>
      <c r="U7" s="3" t="s">
        <v>79</v>
      </c>
      <c r="V7" s="3" t="s">
        <v>69</v>
      </c>
      <c r="W7" s="3" t="s">
        <v>70</v>
      </c>
      <c r="X7" s="3" t="s">
        <v>58</v>
      </c>
      <c r="Y7" s="3" t="s">
        <v>59</v>
      </c>
      <c r="Z7" s="4">
        <v>6.0</v>
      </c>
      <c r="AA7" s="3" t="s">
        <v>60</v>
      </c>
      <c r="AB7" s="7">
        <v>104.0</v>
      </c>
      <c r="AC7" s="7">
        <v>0.0</v>
      </c>
      <c r="AD7" s="7">
        <v>104.0</v>
      </c>
      <c r="AE7" s="7">
        <v>65.0</v>
      </c>
      <c r="AF7" s="7">
        <v>0.0</v>
      </c>
      <c r="AG7" s="7">
        <v>65.0</v>
      </c>
      <c r="AH7" s="7">
        <v>8.0</v>
      </c>
      <c r="AI7" s="7">
        <v>0.0</v>
      </c>
      <c r="AJ7" s="7">
        <v>8.0</v>
      </c>
      <c r="AK7" s="7">
        <v>0.0</v>
      </c>
      <c r="AL7" s="7">
        <v>0.0</v>
      </c>
      <c r="AM7" s="7">
        <v>8.0</v>
      </c>
      <c r="AN7" s="8">
        <v>83.0</v>
      </c>
      <c r="AO7" s="4">
        <v>86.46</v>
      </c>
    </row>
    <row r="8">
      <c r="A8" s="3" t="s">
        <v>41</v>
      </c>
      <c r="B8" s="4">
        <v>40377.0</v>
      </c>
      <c r="C8" s="4" t="s">
        <v>42</v>
      </c>
      <c r="D8" s="4" t="s">
        <v>43</v>
      </c>
      <c r="E8" s="3" t="s">
        <v>44</v>
      </c>
      <c r="F8" s="4">
        <v>73312.0</v>
      </c>
      <c r="G8" s="3" t="s">
        <v>103</v>
      </c>
      <c r="H8" s="3" t="s">
        <v>104</v>
      </c>
      <c r="I8" s="4">
        <v>9.026665913E9</v>
      </c>
      <c r="J8" s="5">
        <v>45465.37236111111</v>
      </c>
      <c r="K8" s="5"/>
      <c r="L8" s="3" t="s">
        <v>105</v>
      </c>
      <c r="M8" s="3" t="s">
        <v>54</v>
      </c>
      <c r="N8" s="3" t="s">
        <v>50</v>
      </c>
      <c r="O8" s="3" t="s">
        <v>101</v>
      </c>
      <c r="P8" s="6">
        <v>46147.0</v>
      </c>
      <c r="Q8" s="7" t="s">
        <v>106</v>
      </c>
      <c r="R8" s="4">
        <v>1946.0</v>
      </c>
      <c r="S8" s="3" t="s">
        <v>107</v>
      </c>
      <c r="T8" s="3" t="s">
        <v>54</v>
      </c>
      <c r="U8" s="3" t="s">
        <v>108</v>
      </c>
      <c r="V8" s="3" t="s">
        <v>56</v>
      </c>
      <c r="W8" s="3" t="s">
        <v>57</v>
      </c>
      <c r="X8" s="3" t="s">
        <v>58</v>
      </c>
      <c r="Y8" s="3" t="s">
        <v>59</v>
      </c>
      <c r="Z8" s="4">
        <v>8.0</v>
      </c>
      <c r="AA8" s="3" t="s">
        <v>60</v>
      </c>
      <c r="AB8" s="7">
        <v>83.0</v>
      </c>
      <c r="AC8" s="7">
        <v>0.0</v>
      </c>
      <c r="AD8" s="7">
        <v>83.0</v>
      </c>
      <c r="AE8" s="7">
        <v>66.0</v>
      </c>
      <c r="AF8" s="7">
        <v>0.0</v>
      </c>
      <c r="AG8" s="7">
        <v>66.0</v>
      </c>
      <c r="AH8" s="7">
        <v>7.0</v>
      </c>
      <c r="AI8" s="7">
        <v>0.0</v>
      </c>
      <c r="AJ8" s="7">
        <v>6.0</v>
      </c>
      <c r="AK8" s="7">
        <v>1.0</v>
      </c>
      <c r="AL8" s="7">
        <v>0.0</v>
      </c>
      <c r="AM8" s="7">
        <v>7.0</v>
      </c>
      <c r="AN8" s="8">
        <v>205.0</v>
      </c>
      <c r="AO8" s="4">
        <v>88.74</v>
      </c>
    </row>
    <row r="9">
      <c r="A9" s="3" t="s">
        <v>41</v>
      </c>
      <c r="B9" s="4">
        <v>40294.0</v>
      </c>
      <c r="C9" s="9">
        <v>46026.0</v>
      </c>
      <c r="D9" s="4" t="s">
        <v>43</v>
      </c>
      <c r="E9" s="3" t="s">
        <v>44</v>
      </c>
      <c r="F9" s="4">
        <v>82162.0</v>
      </c>
      <c r="G9" s="3" t="s">
        <v>109</v>
      </c>
      <c r="H9" s="3" t="s">
        <v>110</v>
      </c>
      <c r="I9" s="4">
        <v>8.778932562E9</v>
      </c>
      <c r="J9" s="5">
        <v>45830.544652777775</v>
      </c>
      <c r="K9" s="3" t="s">
        <v>47</v>
      </c>
      <c r="L9" s="3" t="s">
        <v>111</v>
      </c>
      <c r="M9" s="3" t="s">
        <v>112</v>
      </c>
      <c r="N9" s="3" t="s">
        <v>50</v>
      </c>
      <c r="O9" s="3" t="s">
        <v>65</v>
      </c>
      <c r="P9" s="6">
        <v>46147.0</v>
      </c>
      <c r="Q9" s="7" t="s">
        <v>77</v>
      </c>
      <c r="R9" s="4">
        <v>1777.0</v>
      </c>
      <c r="S9" s="3" t="s">
        <v>113</v>
      </c>
      <c r="T9" s="3" t="s">
        <v>54</v>
      </c>
      <c r="U9" s="3" t="s">
        <v>79</v>
      </c>
      <c r="V9" s="3" t="s">
        <v>69</v>
      </c>
      <c r="W9" s="3" t="s">
        <v>70</v>
      </c>
      <c r="X9" s="3" t="s">
        <v>58</v>
      </c>
      <c r="Y9" s="3" t="s">
        <v>59</v>
      </c>
      <c r="Z9" s="4">
        <v>8.0</v>
      </c>
      <c r="AA9" s="3" t="s">
        <v>80</v>
      </c>
      <c r="AB9" s="7">
        <v>84.0</v>
      </c>
      <c r="AC9" s="7">
        <v>0.0</v>
      </c>
      <c r="AD9" s="7">
        <v>84.0</v>
      </c>
      <c r="AE9" s="7">
        <v>50.0</v>
      </c>
      <c r="AF9" s="7">
        <v>0.0</v>
      </c>
      <c r="AG9" s="7">
        <v>50.0</v>
      </c>
      <c r="AH9" s="7">
        <v>8.0</v>
      </c>
      <c r="AI9" s="7">
        <v>0.0</v>
      </c>
      <c r="AJ9" s="7">
        <v>8.0</v>
      </c>
      <c r="AK9" s="7">
        <v>0.0</v>
      </c>
      <c r="AL9" s="7">
        <v>0.0</v>
      </c>
      <c r="AM9" s="7">
        <v>8.0</v>
      </c>
      <c r="AN9" s="8">
        <v>142.0</v>
      </c>
      <c r="AO9" s="4">
        <v>50.71</v>
      </c>
    </row>
    <row r="10">
      <c r="A10" s="3" t="s">
        <v>41</v>
      </c>
      <c r="B10" s="4">
        <v>40312.0</v>
      </c>
      <c r="C10" s="9">
        <v>46299.0</v>
      </c>
      <c r="D10" s="4" t="s">
        <v>91</v>
      </c>
      <c r="E10" s="3" t="s">
        <v>44</v>
      </c>
      <c r="F10" s="4">
        <v>82508.0</v>
      </c>
      <c r="G10" s="3" t="s">
        <v>114</v>
      </c>
      <c r="H10" s="3" t="s">
        <v>115</v>
      </c>
      <c r="I10" s="4">
        <v>8.708052404E9</v>
      </c>
      <c r="J10" s="5">
        <v>45837.54366898148</v>
      </c>
      <c r="K10" s="3" t="s">
        <v>47</v>
      </c>
      <c r="L10" s="3" t="s">
        <v>116</v>
      </c>
      <c r="M10" s="3" t="s">
        <v>117</v>
      </c>
      <c r="N10" s="3" t="s">
        <v>50</v>
      </c>
      <c r="O10" s="3" t="s">
        <v>76</v>
      </c>
      <c r="P10" s="6">
        <v>46147.0</v>
      </c>
      <c r="Q10" s="7" t="s">
        <v>118</v>
      </c>
      <c r="R10" s="4">
        <v>1986.0</v>
      </c>
      <c r="S10" s="3" t="s">
        <v>119</v>
      </c>
      <c r="T10" s="3" t="s">
        <v>54</v>
      </c>
      <c r="U10" s="3" t="s">
        <v>79</v>
      </c>
      <c r="V10" s="3" t="s">
        <v>120</v>
      </c>
      <c r="W10" s="3" t="s">
        <v>57</v>
      </c>
      <c r="X10" s="3" t="s">
        <v>58</v>
      </c>
      <c r="Y10" s="3" t="s">
        <v>59</v>
      </c>
      <c r="Z10" s="4">
        <v>7.0</v>
      </c>
      <c r="AA10" s="3" t="s">
        <v>121</v>
      </c>
      <c r="AB10" s="7">
        <v>79.0</v>
      </c>
      <c r="AC10" s="7">
        <v>31.0</v>
      </c>
      <c r="AD10" s="7">
        <v>48.0</v>
      </c>
      <c r="AE10" s="7">
        <v>79.0</v>
      </c>
      <c r="AF10" s="7">
        <v>31.0</v>
      </c>
      <c r="AG10" s="7">
        <v>48.0</v>
      </c>
      <c r="AH10" s="7">
        <v>5.0</v>
      </c>
      <c r="AI10" s="7">
        <v>0.0</v>
      </c>
      <c r="AJ10" s="7">
        <v>3.0</v>
      </c>
      <c r="AK10" s="7">
        <v>2.0</v>
      </c>
      <c r="AL10" s="7">
        <v>0.0</v>
      </c>
      <c r="AM10" s="7">
        <v>5.0</v>
      </c>
      <c r="AN10" s="8">
        <v>149.0</v>
      </c>
      <c r="AO10" s="4">
        <v>66.22</v>
      </c>
    </row>
    <row r="11">
      <c r="A11" s="3" t="s">
        <v>41</v>
      </c>
      <c r="B11" s="4">
        <v>40301.0</v>
      </c>
      <c r="C11" s="9">
        <v>46026.0</v>
      </c>
      <c r="D11" s="4" t="s">
        <v>43</v>
      </c>
      <c r="E11" s="3" t="s">
        <v>44</v>
      </c>
      <c r="F11" s="4">
        <v>89769.0</v>
      </c>
      <c r="G11" s="3" t="s">
        <v>122</v>
      </c>
      <c r="H11" s="3" t="s">
        <v>123</v>
      </c>
      <c r="I11" s="4">
        <v>7.97759294E9</v>
      </c>
      <c r="J11" s="5">
        <v>46134.5359837963</v>
      </c>
      <c r="K11" s="3" t="s">
        <v>124</v>
      </c>
      <c r="L11" s="3" t="s">
        <v>84</v>
      </c>
      <c r="M11" s="3" t="s">
        <v>64</v>
      </c>
      <c r="N11" s="3" t="s">
        <v>50</v>
      </c>
      <c r="O11" s="3" t="s">
        <v>51</v>
      </c>
      <c r="P11" s="6">
        <v>46117.0</v>
      </c>
      <c r="Q11" s="7" t="s">
        <v>125</v>
      </c>
      <c r="R11" s="4">
        <v>1778.0</v>
      </c>
      <c r="S11" s="3" t="s">
        <v>126</v>
      </c>
      <c r="T11" s="3" t="s">
        <v>54</v>
      </c>
      <c r="U11" s="3" t="s">
        <v>68</v>
      </c>
      <c r="V11" s="3" t="s">
        <v>69</v>
      </c>
      <c r="W11" s="3" t="s">
        <v>70</v>
      </c>
      <c r="X11" s="3" t="s">
        <v>58</v>
      </c>
      <c r="Y11" s="3" t="s">
        <v>59</v>
      </c>
      <c r="Z11" s="4">
        <v>6.0</v>
      </c>
      <c r="AA11" s="3" t="s">
        <v>60</v>
      </c>
      <c r="AB11" s="7">
        <v>116.0</v>
      </c>
      <c r="AC11" s="7">
        <v>0.0</v>
      </c>
      <c r="AD11" s="7">
        <v>116.0</v>
      </c>
      <c r="AE11" s="7">
        <v>80.0</v>
      </c>
      <c r="AF11" s="7">
        <v>0.0</v>
      </c>
      <c r="AG11" s="7">
        <v>80.0</v>
      </c>
      <c r="AH11" s="7">
        <v>8.0</v>
      </c>
      <c r="AI11" s="7">
        <v>0.0</v>
      </c>
      <c r="AJ11" s="7">
        <v>8.0</v>
      </c>
      <c r="AK11" s="7">
        <v>0.0</v>
      </c>
      <c r="AL11" s="7">
        <v>0.0</v>
      </c>
      <c r="AM11" s="7">
        <v>8.0</v>
      </c>
      <c r="AN11" s="8">
        <v>70.0</v>
      </c>
      <c r="AO11" s="4">
        <v>72.92</v>
      </c>
    </row>
    <row r="12">
      <c r="A12" s="3" t="s">
        <v>41</v>
      </c>
      <c r="B12" s="4">
        <v>40400.0</v>
      </c>
      <c r="C12" s="4" t="s">
        <v>127</v>
      </c>
      <c r="D12" s="4" t="s">
        <v>128</v>
      </c>
      <c r="E12" s="3" t="s">
        <v>44</v>
      </c>
      <c r="F12" s="4">
        <v>73451.0</v>
      </c>
      <c r="G12" s="3" t="s">
        <v>129</v>
      </c>
      <c r="H12" s="3" t="s">
        <v>130</v>
      </c>
      <c r="I12" s="4">
        <v>8.327794409E9</v>
      </c>
      <c r="J12" s="5">
        <v>45470.495671296296</v>
      </c>
      <c r="K12" s="5"/>
      <c r="L12" s="3" t="s">
        <v>131</v>
      </c>
      <c r="M12" s="3" t="s">
        <v>132</v>
      </c>
      <c r="N12" s="3" t="s">
        <v>50</v>
      </c>
      <c r="O12" s="3" t="s">
        <v>133</v>
      </c>
      <c r="P12" s="6">
        <v>46147.0</v>
      </c>
      <c r="Q12" s="7" t="s">
        <v>52</v>
      </c>
      <c r="R12" s="4">
        <v>1274.0</v>
      </c>
      <c r="S12" s="3" t="s">
        <v>134</v>
      </c>
      <c r="T12" s="3" t="s">
        <v>135</v>
      </c>
      <c r="U12" s="3" t="s">
        <v>136</v>
      </c>
      <c r="V12" s="3" t="s">
        <v>56</v>
      </c>
      <c r="W12" s="3" t="s">
        <v>57</v>
      </c>
      <c r="X12" s="3" t="s">
        <v>58</v>
      </c>
      <c r="Y12" s="3" t="s">
        <v>59</v>
      </c>
      <c r="Z12" s="4">
        <v>8.0</v>
      </c>
      <c r="AA12" s="3" t="s">
        <v>60</v>
      </c>
      <c r="AB12" s="7">
        <v>157.0</v>
      </c>
      <c r="AC12" s="7">
        <v>71.0</v>
      </c>
      <c r="AD12" s="7">
        <v>86.0</v>
      </c>
      <c r="AE12" s="7">
        <v>108.0</v>
      </c>
      <c r="AF12" s="7">
        <v>49.0</v>
      </c>
      <c r="AG12" s="7">
        <v>59.0</v>
      </c>
      <c r="AH12" s="7">
        <v>6.0</v>
      </c>
      <c r="AI12" s="7">
        <v>0.0</v>
      </c>
      <c r="AJ12" s="7">
        <v>4.0</v>
      </c>
      <c r="AK12" s="7">
        <v>2.0</v>
      </c>
      <c r="AL12" s="7">
        <v>0.0</v>
      </c>
      <c r="AM12" s="7">
        <v>6.0</v>
      </c>
      <c r="AN12" s="8">
        <v>89.0</v>
      </c>
      <c r="AO12" s="4">
        <v>47.85</v>
      </c>
    </row>
    <row r="13">
      <c r="A13" s="3" t="s">
        <v>41</v>
      </c>
      <c r="B13" s="4">
        <v>40290.0</v>
      </c>
      <c r="C13" s="9">
        <v>46026.0</v>
      </c>
      <c r="D13" s="4" t="s">
        <v>43</v>
      </c>
      <c r="E13" s="3" t="s">
        <v>44</v>
      </c>
      <c r="F13" s="4">
        <v>89816.0</v>
      </c>
      <c r="G13" s="3" t="s">
        <v>137</v>
      </c>
      <c r="H13" s="3" t="s">
        <v>138</v>
      </c>
      <c r="I13" s="4">
        <v>9.871802211E9</v>
      </c>
      <c r="J13" s="5">
        <v>46134.848275462966</v>
      </c>
      <c r="K13" s="3" t="s">
        <v>124</v>
      </c>
      <c r="L13" s="3" t="s">
        <v>139</v>
      </c>
      <c r="M13" s="3" t="s">
        <v>140</v>
      </c>
      <c r="N13" s="3" t="s">
        <v>50</v>
      </c>
      <c r="O13" s="3" t="s">
        <v>141</v>
      </c>
      <c r="P13" s="6">
        <v>46027.0</v>
      </c>
      <c r="Q13" s="7" t="s">
        <v>66</v>
      </c>
      <c r="R13" s="4">
        <v>1789.0</v>
      </c>
      <c r="S13" s="3" t="s">
        <v>142</v>
      </c>
      <c r="T13" s="3" t="s">
        <v>54</v>
      </c>
      <c r="U13" s="3" t="s">
        <v>79</v>
      </c>
      <c r="V13" s="3" t="s">
        <v>69</v>
      </c>
      <c r="W13" s="3" t="s">
        <v>70</v>
      </c>
      <c r="X13" s="3" t="s">
        <v>58</v>
      </c>
      <c r="Y13" s="3" t="s">
        <v>59</v>
      </c>
      <c r="Z13" s="4">
        <v>7.0</v>
      </c>
      <c r="AA13" s="3" t="s">
        <v>60</v>
      </c>
      <c r="AB13" s="7">
        <v>91.0</v>
      </c>
      <c r="AC13" s="7">
        <v>0.0</v>
      </c>
      <c r="AD13" s="7">
        <v>91.0</v>
      </c>
      <c r="AE13" s="7">
        <v>58.0</v>
      </c>
      <c r="AF13" s="7">
        <v>0.0</v>
      </c>
      <c r="AG13" s="7">
        <v>58.0</v>
      </c>
      <c r="AH13" s="7">
        <v>8.0</v>
      </c>
      <c r="AI13" s="7">
        <v>0.0</v>
      </c>
      <c r="AJ13" s="7">
        <v>8.0</v>
      </c>
      <c r="AK13" s="7">
        <v>0.0</v>
      </c>
      <c r="AL13" s="7">
        <v>0.0</v>
      </c>
      <c r="AM13" s="7">
        <v>8.0</v>
      </c>
      <c r="AN13" s="8">
        <v>56.0</v>
      </c>
      <c r="AO13" s="4">
        <v>100.0</v>
      </c>
    </row>
    <row r="14">
      <c r="A14" s="3" t="s">
        <v>41</v>
      </c>
      <c r="B14" s="4">
        <v>40241.0</v>
      </c>
      <c r="C14" s="9">
        <v>46026.0</v>
      </c>
      <c r="D14" s="4" t="s">
        <v>43</v>
      </c>
      <c r="E14" s="3" t="s">
        <v>44</v>
      </c>
      <c r="F14" s="4">
        <v>87356.0</v>
      </c>
      <c r="G14" s="3" t="s">
        <v>143</v>
      </c>
      <c r="H14" s="3" t="s">
        <v>144</v>
      </c>
      <c r="I14" s="4">
        <v>8.709604778E9</v>
      </c>
      <c r="J14" s="5">
        <v>45998.78623842593</v>
      </c>
      <c r="K14" s="3" t="s">
        <v>47</v>
      </c>
      <c r="L14" s="3" t="s">
        <v>145</v>
      </c>
      <c r="M14" s="3" t="s">
        <v>54</v>
      </c>
      <c r="N14" s="3" t="s">
        <v>50</v>
      </c>
      <c r="O14" s="3" t="s">
        <v>101</v>
      </c>
      <c r="P14" s="6">
        <v>46178.0</v>
      </c>
      <c r="Q14" s="7" t="s">
        <v>125</v>
      </c>
      <c r="R14" s="4">
        <v>1791.0</v>
      </c>
      <c r="S14" s="3" t="s">
        <v>67</v>
      </c>
      <c r="T14" s="3" t="s">
        <v>54</v>
      </c>
      <c r="U14" s="3" t="s">
        <v>68</v>
      </c>
      <c r="V14" s="3" t="s">
        <v>69</v>
      </c>
      <c r="W14" s="3" t="s">
        <v>70</v>
      </c>
      <c r="X14" s="3" t="s">
        <v>58</v>
      </c>
      <c r="Y14" s="3" t="s">
        <v>59</v>
      </c>
      <c r="Z14" s="4">
        <v>7.0</v>
      </c>
      <c r="AA14" s="3" t="s">
        <v>146</v>
      </c>
      <c r="AB14" s="7">
        <v>127.0</v>
      </c>
      <c r="AC14" s="7">
        <v>0.0</v>
      </c>
      <c r="AD14" s="7">
        <v>127.0</v>
      </c>
      <c r="AE14" s="7">
        <v>92.0</v>
      </c>
      <c r="AF14" s="7">
        <v>0.0</v>
      </c>
      <c r="AG14" s="7">
        <v>92.0</v>
      </c>
      <c r="AH14" s="7">
        <v>7.0</v>
      </c>
      <c r="AI14" s="7">
        <v>0.0</v>
      </c>
      <c r="AJ14" s="7">
        <v>7.0</v>
      </c>
      <c r="AK14" s="7">
        <v>0.0</v>
      </c>
      <c r="AL14" s="7">
        <v>0.0</v>
      </c>
      <c r="AM14" s="7">
        <v>7.0</v>
      </c>
      <c r="AN14" s="8">
        <v>238.0</v>
      </c>
      <c r="AO14" s="4">
        <v>100.0</v>
      </c>
    </row>
    <row r="15">
      <c r="A15" s="3" t="s">
        <v>41</v>
      </c>
      <c r="B15" s="4">
        <v>40313.0</v>
      </c>
      <c r="C15" s="9">
        <v>46299.0</v>
      </c>
      <c r="D15" s="4" t="s">
        <v>91</v>
      </c>
      <c r="E15" s="3" t="s">
        <v>44</v>
      </c>
      <c r="F15" s="4">
        <v>89976.0</v>
      </c>
      <c r="G15" s="3" t="s">
        <v>147</v>
      </c>
      <c r="H15" s="3" t="s">
        <v>148</v>
      </c>
      <c r="I15" s="4">
        <v>7.016547563E9</v>
      </c>
      <c r="J15" s="5">
        <v>46139.45171296296</v>
      </c>
      <c r="K15" s="3" t="s">
        <v>47</v>
      </c>
      <c r="L15" s="3" t="s">
        <v>149</v>
      </c>
      <c r="M15" s="3" t="s">
        <v>150</v>
      </c>
      <c r="N15" s="3" t="s">
        <v>50</v>
      </c>
      <c r="O15" s="3" t="s">
        <v>101</v>
      </c>
      <c r="P15" s="6">
        <v>46178.0</v>
      </c>
      <c r="Q15" s="7" t="s">
        <v>151</v>
      </c>
      <c r="R15" s="4">
        <v>1986.0</v>
      </c>
      <c r="S15" s="3" t="s">
        <v>119</v>
      </c>
      <c r="T15" s="3" t="s">
        <v>54</v>
      </c>
      <c r="U15" s="3" t="s">
        <v>79</v>
      </c>
      <c r="V15" s="3" t="s">
        <v>120</v>
      </c>
      <c r="W15" s="3" t="s">
        <v>57</v>
      </c>
      <c r="X15" s="3" t="s">
        <v>58</v>
      </c>
      <c r="Y15" s="3" t="s">
        <v>59</v>
      </c>
      <c r="Z15" s="4">
        <v>7.0</v>
      </c>
      <c r="AA15" s="3" t="s">
        <v>152</v>
      </c>
      <c r="AB15" s="7">
        <v>79.0</v>
      </c>
      <c r="AC15" s="7">
        <v>31.0</v>
      </c>
      <c r="AD15" s="7">
        <v>48.0</v>
      </c>
      <c r="AE15" s="7">
        <v>79.0</v>
      </c>
      <c r="AF15" s="7">
        <v>31.0</v>
      </c>
      <c r="AG15" s="7">
        <v>48.0</v>
      </c>
      <c r="AH15" s="7">
        <v>4.0</v>
      </c>
      <c r="AI15" s="7">
        <v>0.0</v>
      </c>
      <c r="AJ15" s="7">
        <v>2.0</v>
      </c>
      <c r="AK15" s="7">
        <v>2.0</v>
      </c>
      <c r="AL15" s="7">
        <v>0.0</v>
      </c>
      <c r="AM15" s="7">
        <v>4.0</v>
      </c>
      <c r="AN15" s="8">
        <v>132.0</v>
      </c>
      <c r="AO15" s="4">
        <v>73.33</v>
      </c>
    </row>
    <row r="16">
      <c r="A16" s="3" t="s">
        <v>41</v>
      </c>
      <c r="B16" s="4">
        <v>40365.0</v>
      </c>
      <c r="C16" s="9">
        <v>46026.0</v>
      </c>
      <c r="D16" s="4" t="s">
        <v>43</v>
      </c>
      <c r="E16" s="3" t="s">
        <v>44</v>
      </c>
      <c r="F16" s="4">
        <v>89917.0</v>
      </c>
      <c r="G16" s="3" t="s">
        <v>153</v>
      </c>
      <c r="H16" s="3" t="s">
        <v>154</v>
      </c>
      <c r="I16" s="4">
        <v>7.776017751E9</v>
      </c>
      <c r="J16" s="5">
        <v>46136.63349537037</v>
      </c>
      <c r="K16" s="3" t="s">
        <v>155</v>
      </c>
      <c r="L16" s="3" t="s">
        <v>156</v>
      </c>
      <c r="M16" s="3" t="s">
        <v>157</v>
      </c>
      <c r="N16" s="3" t="s">
        <v>50</v>
      </c>
      <c r="O16" s="3" t="s">
        <v>51</v>
      </c>
      <c r="P16" s="6">
        <v>46027.0</v>
      </c>
      <c r="Q16" s="7" t="s">
        <v>66</v>
      </c>
      <c r="R16" s="4">
        <v>1793.0</v>
      </c>
      <c r="S16" s="3" t="s">
        <v>158</v>
      </c>
      <c r="T16" s="3" t="s">
        <v>54</v>
      </c>
      <c r="U16" s="3" t="s">
        <v>79</v>
      </c>
      <c r="V16" s="3" t="s">
        <v>69</v>
      </c>
      <c r="W16" s="3" t="s">
        <v>70</v>
      </c>
      <c r="X16" s="3" t="s">
        <v>58</v>
      </c>
      <c r="Y16" s="3" t="s">
        <v>59</v>
      </c>
      <c r="Z16" s="4">
        <v>8.0</v>
      </c>
      <c r="AA16" s="3" t="s">
        <v>60</v>
      </c>
      <c r="AB16" s="7">
        <v>100.0</v>
      </c>
      <c r="AC16" s="7">
        <v>0.0</v>
      </c>
      <c r="AD16" s="7">
        <v>100.0</v>
      </c>
      <c r="AE16" s="7">
        <v>66.0</v>
      </c>
      <c r="AF16" s="7">
        <v>0.0</v>
      </c>
      <c r="AG16" s="7">
        <v>66.0</v>
      </c>
      <c r="AH16" s="7">
        <v>8.0</v>
      </c>
      <c r="AI16" s="7">
        <v>0.0</v>
      </c>
      <c r="AJ16" s="7">
        <v>8.0</v>
      </c>
      <c r="AK16" s="7">
        <v>0.0</v>
      </c>
      <c r="AL16" s="7">
        <v>0.0</v>
      </c>
      <c r="AM16" s="7">
        <v>8.0</v>
      </c>
      <c r="AN16" s="8">
        <v>203.0</v>
      </c>
      <c r="AO16" s="4">
        <v>87.5</v>
      </c>
    </row>
    <row r="17">
      <c r="A17" s="3" t="s">
        <v>41</v>
      </c>
      <c r="B17" s="4">
        <v>40421.0</v>
      </c>
      <c r="C17" s="4" t="s">
        <v>127</v>
      </c>
      <c r="D17" s="4" t="s">
        <v>128</v>
      </c>
      <c r="E17" s="3" t="s">
        <v>44</v>
      </c>
      <c r="F17" s="4">
        <v>89631.0</v>
      </c>
      <c r="G17" s="3" t="s">
        <v>159</v>
      </c>
      <c r="H17" s="3" t="s">
        <v>160</v>
      </c>
      <c r="I17" s="4">
        <v>7.991188158E9</v>
      </c>
      <c r="J17" s="5">
        <v>46129.94668981482</v>
      </c>
      <c r="K17" s="3" t="s">
        <v>47</v>
      </c>
      <c r="L17" s="3" t="s">
        <v>161</v>
      </c>
      <c r="M17" s="3" t="s">
        <v>162</v>
      </c>
      <c r="N17" s="3" t="s">
        <v>50</v>
      </c>
      <c r="O17" s="3" t="s">
        <v>51</v>
      </c>
      <c r="P17" s="6">
        <v>46117.0</v>
      </c>
      <c r="Q17" s="7" t="s">
        <v>95</v>
      </c>
      <c r="R17" s="4">
        <v>120.0</v>
      </c>
      <c r="S17" s="3" t="s">
        <v>163</v>
      </c>
      <c r="T17" s="3" t="s">
        <v>135</v>
      </c>
      <c r="U17" s="3" t="s">
        <v>164</v>
      </c>
      <c r="V17" s="3" t="s">
        <v>56</v>
      </c>
      <c r="W17" s="3" t="s">
        <v>57</v>
      </c>
      <c r="X17" s="3" t="s">
        <v>58</v>
      </c>
      <c r="Y17" s="3" t="s">
        <v>59</v>
      </c>
      <c r="Z17" s="4">
        <v>7.0</v>
      </c>
      <c r="AA17" s="3" t="s">
        <v>60</v>
      </c>
      <c r="AB17" s="7">
        <v>71.0</v>
      </c>
      <c r="AC17" s="7">
        <v>0.0</v>
      </c>
      <c r="AD17" s="7">
        <v>71.0</v>
      </c>
      <c r="AE17" s="7">
        <v>70.0</v>
      </c>
      <c r="AF17" s="7">
        <v>0.0</v>
      </c>
      <c r="AG17" s="7">
        <v>70.0</v>
      </c>
      <c r="AH17" s="7">
        <v>6.0</v>
      </c>
      <c r="AI17" s="7">
        <v>0.0</v>
      </c>
      <c r="AJ17" s="7">
        <v>3.0</v>
      </c>
      <c r="AK17" s="7">
        <v>3.0</v>
      </c>
      <c r="AL17" s="7">
        <v>0.0</v>
      </c>
      <c r="AM17" s="7">
        <v>6.0</v>
      </c>
      <c r="AN17" s="8">
        <v>210.0</v>
      </c>
      <c r="AO17" s="4">
        <v>100.0</v>
      </c>
    </row>
    <row r="18">
      <c r="A18" s="3" t="s">
        <v>41</v>
      </c>
      <c r="B18" s="4">
        <v>40423.0</v>
      </c>
      <c r="C18" s="4" t="s">
        <v>127</v>
      </c>
      <c r="D18" s="4" t="s">
        <v>128</v>
      </c>
      <c r="E18" s="3" t="s">
        <v>44</v>
      </c>
      <c r="F18" s="4">
        <v>89631.0</v>
      </c>
      <c r="G18" s="3" t="s">
        <v>159</v>
      </c>
      <c r="H18" s="3" t="s">
        <v>160</v>
      </c>
      <c r="I18" s="4">
        <v>7.991188158E9</v>
      </c>
      <c r="J18" s="5">
        <v>46129.94668981482</v>
      </c>
      <c r="K18" s="3" t="s">
        <v>47</v>
      </c>
      <c r="L18" s="3" t="s">
        <v>161</v>
      </c>
      <c r="M18" s="3" t="s">
        <v>162</v>
      </c>
      <c r="N18" s="3" t="s">
        <v>50</v>
      </c>
      <c r="O18" s="3" t="s">
        <v>51</v>
      </c>
      <c r="P18" s="6">
        <v>46117.0</v>
      </c>
      <c r="Q18" s="7" t="s">
        <v>95</v>
      </c>
      <c r="R18" s="4">
        <v>121.0</v>
      </c>
      <c r="S18" s="3" t="s">
        <v>165</v>
      </c>
      <c r="T18" s="3" t="s">
        <v>135</v>
      </c>
      <c r="U18" s="3" t="s">
        <v>164</v>
      </c>
      <c r="V18" s="3" t="s">
        <v>56</v>
      </c>
      <c r="W18" s="3" t="s">
        <v>57</v>
      </c>
      <c r="X18" s="3" t="s">
        <v>58</v>
      </c>
      <c r="Y18" s="3" t="s">
        <v>59</v>
      </c>
      <c r="Z18" s="4">
        <v>7.0</v>
      </c>
      <c r="AA18" s="3" t="s">
        <v>60</v>
      </c>
      <c r="AB18" s="7">
        <v>71.0</v>
      </c>
      <c r="AC18" s="7">
        <v>0.0</v>
      </c>
      <c r="AD18" s="7">
        <v>71.0</v>
      </c>
      <c r="AE18" s="7">
        <v>71.0</v>
      </c>
      <c r="AF18" s="7">
        <v>0.0</v>
      </c>
      <c r="AG18" s="7">
        <v>71.0</v>
      </c>
      <c r="AH18" s="7">
        <v>6.0</v>
      </c>
      <c r="AI18" s="7">
        <v>0.0</v>
      </c>
      <c r="AJ18" s="7">
        <v>3.0</v>
      </c>
      <c r="AK18" s="7">
        <v>3.0</v>
      </c>
      <c r="AL18" s="7">
        <v>0.0</v>
      </c>
      <c r="AM18" s="7">
        <v>6.0</v>
      </c>
      <c r="AN18" s="8">
        <v>240.0</v>
      </c>
      <c r="AO18" s="4">
        <v>100.0</v>
      </c>
    </row>
    <row r="19">
      <c r="A19" s="3" t="s">
        <v>41</v>
      </c>
      <c r="B19" s="4">
        <v>40403.0</v>
      </c>
      <c r="C19" s="4" t="s">
        <v>127</v>
      </c>
      <c r="D19" s="4" t="s">
        <v>128</v>
      </c>
      <c r="E19" s="3" t="s">
        <v>44</v>
      </c>
      <c r="F19" s="4">
        <v>82505.0</v>
      </c>
      <c r="G19" s="3" t="s">
        <v>166</v>
      </c>
      <c r="H19" s="3" t="s">
        <v>167</v>
      </c>
      <c r="I19" s="4">
        <v>9.990821393E9</v>
      </c>
      <c r="J19" s="5">
        <v>45837.53491898148</v>
      </c>
      <c r="K19" s="3" t="s">
        <v>47</v>
      </c>
      <c r="L19" s="3" t="s">
        <v>168</v>
      </c>
      <c r="M19" s="3" t="s">
        <v>117</v>
      </c>
      <c r="N19" s="3" t="s">
        <v>50</v>
      </c>
      <c r="O19" s="3" t="s">
        <v>65</v>
      </c>
      <c r="P19" s="6">
        <v>46027.0</v>
      </c>
      <c r="Q19" s="7" t="s">
        <v>151</v>
      </c>
      <c r="R19" s="4">
        <v>113.0</v>
      </c>
      <c r="S19" s="3" t="s">
        <v>169</v>
      </c>
      <c r="T19" s="3" t="s">
        <v>135</v>
      </c>
      <c r="U19" s="3" t="s">
        <v>164</v>
      </c>
      <c r="V19" s="3" t="s">
        <v>56</v>
      </c>
      <c r="W19" s="3" t="s">
        <v>57</v>
      </c>
      <c r="X19" s="3" t="s">
        <v>58</v>
      </c>
      <c r="Y19" s="3" t="s">
        <v>59</v>
      </c>
      <c r="Z19" s="4">
        <v>8.0</v>
      </c>
      <c r="AA19" s="3" t="s">
        <v>60</v>
      </c>
      <c r="AB19" s="7">
        <v>52.0</v>
      </c>
      <c r="AC19" s="7">
        <v>0.0</v>
      </c>
      <c r="AD19" s="7">
        <v>52.0</v>
      </c>
      <c r="AE19" s="7">
        <v>50.0</v>
      </c>
      <c r="AF19" s="7">
        <v>0.0</v>
      </c>
      <c r="AG19" s="7">
        <v>50.0</v>
      </c>
      <c r="AH19" s="7">
        <v>5.0</v>
      </c>
      <c r="AI19" s="7">
        <v>0.0</v>
      </c>
      <c r="AJ19" s="7">
        <v>2.0</v>
      </c>
      <c r="AK19" s="7">
        <v>3.0</v>
      </c>
      <c r="AL19" s="7">
        <v>0.0</v>
      </c>
      <c r="AM19" s="7">
        <v>5.0</v>
      </c>
      <c r="AN19" s="8">
        <v>195.0</v>
      </c>
      <c r="AO19" s="4">
        <v>100.0</v>
      </c>
    </row>
    <row r="20">
      <c r="A20" s="3" t="s">
        <v>41</v>
      </c>
      <c r="B20" s="4">
        <v>40309.0</v>
      </c>
      <c r="C20" s="9">
        <v>46299.0</v>
      </c>
      <c r="D20" s="4" t="s">
        <v>91</v>
      </c>
      <c r="E20" s="3" t="s">
        <v>44</v>
      </c>
      <c r="F20" s="4">
        <v>89683.0</v>
      </c>
      <c r="G20" s="3" t="s">
        <v>170</v>
      </c>
      <c r="H20" s="3" t="s">
        <v>171</v>
      </c>
      <c r="I20" s="4">
        <v>9.764902409E9</v>
      </c>
      <c r="J20" s="5">
        <v>46132.73233796296</v>
      </c>
      <c r="K20" s="3" t="s">
        <v>47</v>
      </c>
      <c r="L20" s="3" t="s">
        <v>161</v>
      </c>
      <c r="M20" s="3" t="s">
        <v>162</v>
      </c>
      <c r="N20" s="3" t="s">
        <v>50</v>
      </c>
      <c r="O20" s="3" t="s">
        <v>65</v>
      </c>
      <c r="P20" s="6">
        <v>46147.0</v>
      </c>
      <c r="Q20" s="7" t="s">
        <v>118</v>
      </c>
      <c r="R20" s="4">
        <v>1986.0</v>
      </c>
      <c r="S20" s="3" t="s">
        <v>119</v>
      </c>
      <c r="T20" s="3" t="s">
        <v>54</v>
      </c>
      <c r="U20" s="3" t="s">
        <v>79</v>
      </c>
      <c r="V20" s="3" t="s">
        <v>120</v>
      </c>
      <c r="W20" s="3" t="s">
        <v>57</v>
      </c>
      <c r="X20" s="3" t="s">
        <v>58</v>
      </c>
      <c r="Y20" s="3" t="s">
        <v>59</v>
      </c>
      <c r="Z20" s="4">
        <v>8.0</v>
      </c>
      <c r="AA20" s="3" t="s">
        <v>152</v>
      </c>
      <c r="AB20" s="7">
        <v>79.0</v>
      </c>
      <c r="AC20" s="7">
        <v>31.0</v>
      </c>
      <c r="AD20" s="7">
        <v>48.0</v>
      </c>
      <c r="AE20" s="7">
        <v>79.0</v>
      </c>
      <c r="AF20" s="7">
        <v>31.0</v>
      </c>
      <c r="AG20" s="7">
        <v>48.0</v>
      </c>
      <c r="AH20" s="7">
        <v>5.0</v>
      </c>
      <c r="AI20" s="7">
        <v>0.0</v>
      </c>
      <c r="AJ20" s="7">
        <v>5.0</v>
      </c>
      <c r="AK20" s="7">
        <v>0.0</v>
      </c>
      <c r="AL20" s="7">
        <v>0.0</v>
      </c>
      <c r="AM20" s="7">
        <v>5.0</v>
      </c>
      <c r="AN20" s="8">
        <v>110.0</v>
      </c>
      <c r="AO20" s="4">
        <v>64.71</v>
      </c>
    </row>
    <row r="21">
      <c r="A21" s="3" t="s">
        <v>41</v>
      </c>
      <c r="B21" s="4">
        <v>40300.0</v>
      </c>
      <c r="C21" s="9">
        <v>46026.0</v>
      </c>
      <c r="D21" s="4" t="s">
        <v>43</v>
      </c>
      <c r="E21" s="3" t="s">
        <v>44</v>
      </c>
      <c r="F21" s="4">
        <v>81202.0</v>
      </c>
      <c r="G21" s="3" t="s">
        <v>172</v>
      </c>
      <c r="H21" s="3" t="s">
        <v>173</v>
      </c>
      <c r="I21" s="4">
        <v>8.240959528E9</v>
      </c>
      <c r="J21" s="5">
        <v>45780.72119212963</v>
      </c>
      <c r="K21" s="3" t="s">
        <v>47</v>
      </c>
      <c r="L21" s="3" t="s">
        <v>174</v>
      </c>
      <c r="M21" s="3" t="s">
        <v>175</v>
      </c>
      <c r="N21" s="3" t="s">
        <v>50</v>
      </c>
      <c r="O21" s="3" t="s">
        <v>65</v>
      </c>
      <c r="P21" s="6">
        <v>46027.0</v>
      </c>
      <c r="Q21" s="7" t="s">
        <v>66</v>
      </c>
      <c r="R21" s="4">
        <v>1778.0</v>
      </c>
      <c r="S21" s="3" t="s">
        <v>126</v>
      </c>
      <c r="T21" s="3" t="s">
        <v>54</v>
      </c>
      <c r="U21" s="3" t="s">
        <v>68</v>
      </c>
      <c r="V21" s="3" t="s">
        <v>69</v>
      </c>
      <c r="W21" s="3" t="s">
        <v>70</v>
      </c>
      <c r="X21" s="3" t="s">
        <v>58</v>
      </c>
      <c r="Y21" s="3" t="s">
        <v>59</v>
      </c>
      <c r="Z21" s="4">
        <v>8.0</v>
      </c>
      <c r="AA21" s="3" t="s">
        <v>80</v>
      </c>
      <c r="AB21" s="7">
        <v>116.0</v>
      </c>
      <c r="AC21" s="7">
        <v>0.0</v>
      </c>
      <c r="AD21" s="7">
        <v>116.0</v>
      </c>
      <c r="AE21" s="7">
        <v>80.0</v>
      </c>
      <c r="AF21" s="7">
        <v>0.0</v>
      </c>
      <c r="AG21" s="7">
        <v>80.0</v>
      </c>
      <c r="AH21" s="7">
        <v>8.0</v>
      </c>
      <c r="AI21" s="7">
        <v>0.0</v>
      </c>
      <c r="AJ21" s="7">
        <v>8.0</v>
      </c>
      <c r="AK21" s="7">
        <v>0.0</v>
      </c>
      <c r="AL21" s="7">
        <v>0.0</v>
      </c>
      <c r="AM21" s="7">
        <v>8.0</v>
      </c>
      <c r="AN21" s="8">
        <v>132.0</v>
      </c>
      <c r="AO21" s="4">
        <v>51.56</v>
      </c>
    </row>
    <row r="22">
      <c r="A22" s="3" t="s">
        <v>41</v>
      </c>
      <c r="B22" s="4">
        <v>40306.0</v>
      </c>
      <c r="C22" s="9">
        <v>46299.0</v>
      </c>
      <c r="D22" s="4" t="s">
        <v>91</v>
      </c>
      <c r="E22" s="3" t="s">
        <v>44</v>
      </c>
      <c r="F22" s="4">
        <v>84335.0</v>
      </c>
      <c r="G22" s="3" t="s">
        <v>176</v>
      </c>
      <c r="H22" s="3" t="s">
        <v>177</v>
      </c>
      <c r="I22" s="4">
        <v>7.973742422E9</v>
      </c>
      <c r="J22" s="5">
        <v>45864.723958333336</v>
      </c>
      <c r="K22" s="3" t="s">
        <v>47</v>
      </c>
      <c r="L22" s="3" t="s">
        <v>178</v>
      </c>
      <c r="M22" s="3" t="s">
        <v>49</v>
      </c>
      <c r="N22" s="3" t="s">
        <v>50</v>
      </c>
      <c r="O22" s="3" t="s">
        <v>65</v>
      </c>
      <c r="P22" s="6">
        <v>46058.0</v>
      </c>
      <c r="Q22" s="7" t="s">
        <v>66</v>
      </c>
      <c r="R22" s="4">
        <v>1720.0</v>
      </c>
      <c r="S22" s="3" t="s">
        <v>179</v>
      </c>
      <c r="T22" s="3" t="s">
        <v>54</v>
      </c>
      <c r="U22" s="3" t="s">
        <v>79</v>
      </c>
      <c r="V22" s="3" t="s">
        <v>120</v>
      </c>
      <c r="W22" s="3" t="s">
        <v>57</v>
      </c>
      <c r="X22" s="3" t="s">
        <v>58</v>
      </c>
      <c r="Y22" s="3" t="s">
        <v>59</v>
      </c>
      <c r="Z22" s="4">
        <v>7.0</v>
      </c>
      <c r="AA22" s="3" t="s">
        <v>121</v>
      </c>
      <c r="AB22" s="7">
        <v>57.0</v>
      </c>
      <c r="AC22" s="7">
        <v>0.0</v>
      </c>
      <c r="AD22" s="7">
        <v>57.0</v>
      </c>
      <c r="AE22" s="7">
        <v>57.0</v>
      </c>
      <c r="AF22" s="7">
        <v>0.0</v>
      </c>
      <c r="AG22" s="7">
        <v>57.0</v>
      </c>
      <c r="AH22" s="10">
        <v>5.0</v>
      </c>
      <c r="AI22" s="7">
        <v>0.0</v>
      </c>
      <c r="AJ22" s="7">
        <v>4.0</v>
      </c>
      <c r="AK22" s="10">
        <v>1.0</v>
      </c>
      <c r="AL22" s="7">
        <v>0.0</v>
      </c>
      <c r="AM22" s="10">
        <v>5.0</v>
      </c>
      <c r="AN22" s="8">
        <v>81.0</v>
      </c>
      <c r="AO22" s="4">
        <v>55.86</v>
      </c>
    </row>
    <row r="23">
      <c r="A23" s="3" t="s">
        <v>41</v>
      </c>
      <c r="B23" s="4">
        <v>40244.0</v>
      </c>
      <c r="C23" s="9">
        <v>46026.0</v>
      </c>
      <c r="D23" s="4" t="s">
        <v>43</v>
      </c>
      <c r="E23" s="3" t="s">
        <v>44</v>
      </c>
      <c r="F23" s="4">
        <v>87664.0</v>
      </c>
      <c r="G23" s="3" t="s">
        <v>180</v>
      </c>
      <c r="H23" s="3" t="s">
        <v>181</v>
      </c>
      <c r="I23" s="3">
        <v>6.394708593E9</v>
      </c>
      <c r="J23" s="5">
        <v>46014.48486111111</v>
      </c>
      <c r="K23" s="3" t="s">
        <v>47</v>
      </c>
      <c r="L23" s="3" t="s">
        <v>182</v>
      </c>
      <c r="M23" s="3" t="s">
        <v>54</v>
      </c>
      <c r="N23" s="3" t="s">
        <v>50</v>
      </c>
      <c r="O23" s="3" t="s">
        <v>183</v>
      </c>
      <c r="P23" s="6">
        <v>46147.0</v>
      </c>
      <c r="Q23" s="7" t="s">
        <v>77</v>
      </c>
      <c r="R23" s="4">
        <v>1791.0</v>
      </c>
      <c r="S23" s="3" t="s">
        <v>67</v>
      </c>
      <c r="T23" s="3" t="s">
        <v>54</v>
      </c>
      <c r="U23" s="3" t="s">
        <v>68</v>
      </c>
      <c r="V23" s="3" t="s">
        <v>69</v>
      </c>
      <c r="W23" s="3" t="s">
        <v>70</v>
      </c>
      <c r="X23" s="3" t="s">
        <v>58</v>
      </c>
      <c r="Y23" s="3" t="s">
        <v>59</v>
      </c>
      <c r="Z23" s="4">
        <v>7.0</v>
      </c>
      <c r="AA23" s="3" t="s">
        <v>60</v>
      </c>
      <c r="AB23" s="7">
        <v>127.0</v>
      </c>
      <c r="AC23" s="7">
        <v>0.0</v>
      </c>
      <c r="AD23" s="7">
        <v>127.0</v>
      </c>
      <c r="AE23" s="7">
        <v>92.0</v>
      </c>
      <c r="AF23" s="7">
        <v>0.0</v>
      </c>
      <c r="AG23" s="7">
        <v>92.0</v>
      </c>
      <c r="AH23" s="7">
        <v>8.0</v>
      </c>
      <c r="AI23" s="7">
        <v>0.0</v>
      </c>
      <c r="AJ23" s="7">
        <v>8.0</v>
      </c>
      <c r="AK23" s="7">
        <v>0.0</v>
      </c>
      <c r="AL23" s="7">
        <v>0.0</v>
      </c>
      <c r="AM23" s="7">
        <v>8.0</v>
      </c>
      <c r="AN23" s="8">
        <v>272.0</v>
      </c>
      <c r="AO23" s="4">
        <v>100.0</v>
      </c>
    </row>
    <row r="24">
      <c r="A24" s="3" t="s">
        <v>41</v>
      </c>
      <c r="B24" s="4">
        <v>40233.0</v>
      </c>
      <c r="C24" s="9">
        <v>46299.0</v>
      </c>
      <c r="D24" s="4" t="s">
        <v>81</v>
      </c>
      <c r="E24" s="3" t="s">
        <v>44</v>
      </c>
      <c r="F24" s="4">
        <v>79417.0</v>
      </c>
      <c r="G24" s="3" t="s">
        <v>184</v>
      </c>
      <c r="H24" s="3" t="s">
        <v>185</v>
      </c>
      <c r="I24" s="4">
        <v>7.0170361E9</v>
      </c>
      <c r="J24" s="5">
        <v>45660.65342592593</v>
      </c>
      <c r="K24" s="3" t="s">
        <v>186</v>
      </c>
      <c r="L24" s="3" t="s">
        <v>187</v>
      </c>
      <c r="M24" s="3" t="s">
        <v>188</v>
      </c>
      <c r="N24" s="3" t="s">
        <v>50</v>
      </c>
      <c r="O24" s="3" t="s">
        <v>133</v>
      </c>
      <c r="P24" s="6">
        <v>46178.0</v>
      </c>
      <c r="Q24" s="7" t="s">
        <v>189</v>
      </c>
      <c r="R24" s="4">
        <v>1758.0</v>
      </c>
      <c r="S24" s="3" t="s">
        <v>190</v>
      </c>
      <c r="T24" s="3" t="s">
        <v>191</v>
      </c>
      <c r="U24" s="3" t="s">
        <v>192</v>
      </c>
      <c r="V24" s="3" t="s">
        <v>89</v>
      </c>
      <c r="W24" s="3" t="s">
        <v>57</v>
      </c>
      <c r="X24" s="3" t="s">
        <v>58</v>
      </c>
      <c r="Y24" s="3" t="s">
        <v>59</v>
      </c>
      <c r="Z24" s="4">
        <v>8.0</v>
      </c>
      <c r="AA24" s="3" t="s">
        <v>193</v>
      </c>
      <c r="AB24" s="7">
        <v>31.0</v>
      </c>
      <c r="AC24" s="7">
        <v>17.0</v>
      </c>
      <c r="AD24" s="7">
        <v>14.0</v>
      </c>
      <c r="AE24" s="7">
        <v>31.0</v>
      </c>
      <c r="AF24" s="7">
        <v>17.0</v>
      </c>
      <c r="AG24" s="7">
        <v>14.0</v>
      </c>
      <c r="AH24" s="7">
        <v>6.0</v>
      </c>
      <c r="AI24" s="7">
        <v>0.0</v>
      </c>
      <c r="AJ24" s="7">
        <v>5.0</v>
      </c>
      <c r="AK24" s="7">
        <v>0.0</v>
      </c>
      <c r="AL24" s="7">
        <v>1.0</v>
      </c>
      <c r="AM24" s="7">
        <v>5.0</v>
      </c>
      <c r="AN24" s="8">
        <v>44.0</v>
      </c>
      <c r="AO24" s="4">
        <v>69.09</v>
      </c>
    </row>
    <row r="25">
      <c r="A25" s="3" t="s">
        <v>41</v>
      </c>
      <c r="B25" s="4">
        <v>40382.0</v>
      </c>
      <c r="C25" s="4" t="s">
        <v>127</v>
      </c>
      <c r="D25" s="4" t="s">
        <v>128</v>
      </c>
      <c r="E25" s="3" t="s">
        <v>44</v>
      </c>
      <c r="F25" s="4">
        <v>13352.0</v>
      </c>
      <c r="G25" s="3" t="s">
        <v>194</v>
      </c>
      <c r="H25" s="3" t="s">
        <v>195</v>
      </c>
      <c r="I25" s="4">
        <v>8.056524905E9</v>
      </c>
      <c r="J25" s="5">
        <v>42795.935844907406</v>
      </c>
      <c r="K25" s="3" t="s">
        <v>196</v>
      </c>
      <c r="L25" s="3" t="s">
        <v>94</v>
      </c>
      <c r="M25" s="3" t="s">
        <v>64</v>
      </c>
      <c r="N25" s="3" t="s">
        <v>50</v>
      </c>
      <c r="O25" s="3" t="s">
        <v>197</v>
      </c>
      <c r="P25" s="6">
        <v>46117.0</v>
      </c>
      <c r="Q25" s="7" t="s">
        <v>95</v>
      </c>
      <c r="R25" s="4">
        <v>22.0</v>
      </c>
      <c r="S25" s="3" t="s">
        <v>198</v>
      </c>
      <c r="T25" s="3" t="s">
        <v>135</v>
      </c>
      <c r="U25" s="3" t="s">
        <v>136</v>
      </c>
      <c r="V25" s="3" t="s">
        <v>56</v>
      </c>
      <c r="W25" s="3" t="s">
        <v>57</v>
      </c>
      <c r="X25" s="3" t="s">
        <v>58</v>
      </c>
      <c r="Y25" s="3" t="s">
        <v>59</v>
      </c>
      <c r="Z25" s="4">
        <v>6.0</v>
      </c>
      <c r="AA25" s="3" t="s">
        <v>60</v>
      </c>
      <c r="AB25" s="7">
        <v>75.0</v>
      </c>
      <c r="AC25" s="7">
        <v>29.0</v>
      </c>
      <c r="AD25" s="7">
        <v>46.0</v>
      </c>
      <c r="AE25" s="7">
        <v>75.0</v>
      </c>
      <c r="AF25" s="7">
        <v>29.0</v>
      </c>
      <c r="AG25" s="7">
        <v>46.0</v>
      </c>
      <c r="AH25" s="7">
        <v>6.0</v>
      </c>
      <c r="AI25" s="7">
        <v>0.0</v>
      </c>
      <c r="AJ25" s="7">
        <v>3.0</v>
      </c>
      <c r="AK25" s="7">
        <v>3.0</v>
      </c>
      <c r="AL25" s="7">
        <v>0.0</v>
      </c>
      <c r="AM25" s="7">
        <v>6.0</v>
      </c>
      <c r="AN25" s="8">
        <v>92.0</v>
      </c>
      <c r="AO25" s="4">
        <v>85.19</v>
      </c>
    </row>
    <row r="26">
      <c r="A26" s="3" t="s">
        <v>41</v>
      </c>
      <c r="B26" s="4">
        <v>40283.0</v>
      </c>
      <c r="C26" s="9">
        <v>46026.0</v>
      </c>
      <c r="D26" s="4" t="s">
        <v>43</v>
      </c>
      <c r="E26" s="3" t="s">
        <v>44</v>
      </c>
      <c r="F26" s="4">
        <v>73640.0</v>
      </c>
      <c r="G26" s="3" t="s">
        <v>199</v>
      </c>
      <c r="H26" s="3" t="s">
        <v>200</v>
      </c>
      <c r="I26" s="4">
        <v>6.393838134E9</v>
      </c>
      <c r="J26" s="5">
        <v>45473.5646875</v>
      </c>
      <c r="K26" s="3" t="s">
        <v>201</v>
      </c>
      <c r="L26" s="3" t="s">
        <v>202</v>
      </c>
      <c r="M26" s="3" t="s">
        <v>54</v>
      </c>
      <c r="N26" s="3" t="s">
        <v>50</v>
      </c>
      <c r="O26" s="3" t="s">
        <v>101</v>
      </c>
      <c r="P26" s="6">
        <v>46208.0</v>
      </c>
      <c r="Q26" s="7" t="s">
        <v>77</v>
      </c>
      <c r="R26" s="4">
        <v>1787.0</v>
      </c>
      <c r="S26" s="3" t="s">
        <v>78</v>
      </c>
      <c r="T26" s="3" t="s">
        <v>54</v>
      </c>
      <c r="U26" s="3" t="s">
        <v>79</v>
      </c>
      <c r="V26" s="3" t="s">
        <v>69</v>
      </c>
      <c r="W26" s="3" t="s">
        <v>70</v>
      </c>
      <c r="X26" s="3" t="s">
        <v>58</v>
      </c>
      <c r="Y26" s="3" t="s">
        <v>59</v>
      </c>
      <c r="Z26" s="4">
        <v>6.0</v>
      </c>
      <c r="AA26" s="3" t="s">
        <v>60</v>
      </c>
      <c r="AB26" s="7">
        <v>121.0</v>
      </c>
      <c r="AC26" s="7">
        <v>0.0</v>
      </c>
      <c r="AD26" s="7">
        <v>121.0</v>
      </c>
      <c r="AE26" s="7">
        <v>90.0</v>
      </c>
      <c r="AF26" s="7">
        <v>0.0</v>
      </c>
      <c r="AG26" s="7">
        <v>90.0</v>
      </c>
      <c r="AH26" s="7">
        <v>7.0</v>
      </c>
      <c r="AI26" s="7">
        <v>0.0</v>
      </c>
      <c r="AJ26" s="7">
        <v>7.0</v>
      </c>
      <c r="AK26" s="7">
        <v>0.0</v>
      </c>
      <c r="AL26" s="7">
        <v>0.0</v>
      </c>
      <c r="AM26" s="7">
        <v>7.0</v>
      </c>
      <c r="AN26" s="8">
        <v>169.0</v>
      </c>
      <c r="AO26" s="4">
        <v>96.57</v>
      </c>
    </row>
    <row r="27">
      <c r="A27" s="3" t="s">
        <v>41</v>
      </c>
      <c r="B27" s="4">
        <v>40314.0</v>
      </c>
      <c r="C27" s="9">
        <v>46026.0</v>
      </c>
      <c r="D27" s="4" t="s">
        <v>43</v>
      </c>
      <c r="E27" s="3" t="s">
        <v>44</v>
      </c>
      <c r="F27" s="4">
        <v>89777.0</v>
      </c>
      <c r="G27" s="3" t="s">
        <v>203</v>
      </c>
      <c r="H27" s="3" t="s">
        <v>204</v>
      </c>
      <c r="I27" s="4">
        <v>9.999168317E9</v>
      </c>
      <c r="J27" s="5">
        <v>46134.53909722222</v>
      </c>
      <c r="K27" s="3" t="s">
        <v>124</v>
      </c>
      <c r="L27" s="3" t="s">
        <v>145</v>
      </c>
      <c r="M27" s="3" t="s">
        <v>54</v>
      </c>
      <c r="N27" s="3" t="s">
        <v>50</v>
      </c>
      <c r="O27" s="3" t="s">
        <v>51</v>
      </c>
      <c r="P27" s="6">
        <v>46117.0</v>
      </c>
      <c r="Q27" s="7" t="s">
        <v>125</v>
      </c>
      <c r="R27" s="4">
        <v>1781.0</v>
      </c>
      <c r="S27" s="3" t="s">
        <v>205</v>
      </c>
      <c r="T27" s="3" t="s">
        <v>54</v>
      </c>
      <c r="U27" s="3" t="s">
        <v>68</v>
      </c>
      <c r="V27" s="3" t="s">
        <v>69</v>
      </c>
      <c r="W27" s="3" t="s">
        <v>70</v>
      </c>
      <c r="X27" s="3" t="s">
        <v>58</v>
      </c>
      <c r="Y27" s="3" t="s">
        <v>59</v>
      </c>
      <c r="Z27" s="4">
        <v>6.0</v>
      </c>
      <c r="AA27" s="3" t="s">
        <v>80</v>
      </c>
      <c r="AB27" s="7">
        <v>108.0</v>
      </c>
      <c r="AC27" s="7">
        <v>0.0</v>
      </c>
      <c r="AD27" s="7">
        <v>108.0</v>
      </c>
      <c r="AE27" s="7">
        <v>75.0</v>
      </c>
      <c r="AF27" s="7">
        <v>0.0</v>
      </c>
      <c r="AG27" s="7">
        <v>75.0</v>
      </c>
      <c r="AH27" s="7">
        <v>8.0</v>
      </c>
      <c r="AI27" s="7">
        <v>0.0</v>
      </c>
      <c r="AJ27" s="7">
        <v>8.0</v>
      </c>
      <c r="AK27" s="7">
        <v>0.0</v>
      </c>
      <c r="AL27" s="7">
        <v>0.0</v>
      </c>
      <c r="AM27" s="7">
        <v>8.0</v>
      </c>
      <c r="AN27" s="8">
        <v>172.0</v>
      </c>
      <c r="AO27" s="4">
        <v>97.73</v>
      </c>
    </row>
    <row r="28">
      <c r="A28" s="3" t="s">
        <v>41</v>
      </c>
      <c r="B28" s="4">
        <v>40248.0</v>
      </c>
      <c r="C28" s="9">
        <v>46026.0</v>
      </c>
      <c r="D28" s="4" t="s">
        <v>43</v>
      </c>
      <c r="E28" s="3" t="s">
        <v>44</v>
      </c>
      <c r="F28" s="4">
        <v>73503.0</v>
      </c>
      <c r="G28" s="3" t="s">
        <v>206</v>
      </c>
      <c r="H28" s="3" t="s">
        <v>207</v>
      </c>
      <c r="I28" s="4">
        <v>9.978987252E9</v>
      </c>
      <c r="J28" s="5">
        <v>45471.50630787037</v>
      </c>
      <c r="K28" s="3" t="s">
        <v>208</v>
      </c>
      <c r="L28" s="3" t="s">
        <v>149</v>
      </c>
      <c r="M28" s="3" t="s">
        <v>150</v>
      </c>
      <c r="N28" s="3" t="s">
        <v>50</v>
      </c>
      <c r="O28" s="3" t="s">
        <v>51</v>
      </c>
      <c r="P28" s="6">
        <v>46117.0</v>
      </c>
      <c r="Q28" s="7" t="s">
        <v>125</v>
      </c>
      <c r="R28" s="4">
        <v>1785.0</v>
      </c>
      <c r="S28" s="3" t="s">
        <v>209</v>
      </c>
      <c r="T28" s="3" t="s">
        <v>54</v>
      </c>
      <c r="U28" s="3" t="s">
        <v>79</v>
      </c>
      <c r="V28" s="3" t="s">
        <v>69</v>
      </c>
      <c r="W28" s="3" t="s">
        <v>70</v>
      </c>
      <c r="X28" s="3" t="s">
        <v>58</v>
      </c>
      <c r="Y28" s="3" t="s">
        <v>59</v>
      </c>
      <c r="Z28" s="4">
        <v>8.0</v>
      </c>
      <c r="AA28" s="3" t="s">
        <v>80</v>
      </c>
      <c r="AB28" s="7">
        <v>112.0</v>
      </c>
      <c r="AC28" s="7">
        <v>0.0</v>
      </c>
      <c r="AD28" s="7">
        <v>112.0</v>
      </c>
      <c r="AE28" s="7">
        <v>75.0</v>
      </c>
      <c r="AF28" s="7">
        <v>0.0</v>
      </c>
      <c r="AG28" s="7">
        <v>75.0</v>
      </c>
      <c r="AH28" s="7">
        <v>8.0</v>
      </c>
      <c r="AI28" s="7">
        <v>0.0</v>
      </c>
      <c r="AJ28" s="7">
        <v>8.0</v>
      </c>
      <c r="AK28" s="7">
        <v>0.0</v>
      </c>
      <c r="AL28" s="7">
        <v>0.0</v>
      </c>
      <c r="AM28" s="7">
        <v>8.0</v>
      </c>
      <c r="AN28" s="8">
        <v>155.0</v>
      </c>
      <c r="AO28" s="4">
        <v>56.99</v>
      </c>
    </row>
    <row r="29">
      <c r="A29" s="3" t="s">
        <v>41</v>
      </c>
      <c r="B29" s="4">
        <v>40266.0</v>
      </c>
      <c r="C29" s="9">
        <v>46026.0</v>
      </c>
      <c r="D29" s="4" t="s">
        <v>43</v>
      </c>
      <c r="E29" s="3" t="s">
        <v>44</v>
      </c>
      <c r="F29" s="4">
        <v>88765.0</v>
      </c>
      <c r="G29" s="3" t="s">
        <v>210</v>
      </c>
      <c r="H29" s="3" t="s">
        <v>211</v>
      </c>
      <c r="I29" s="4">
        <v>8.839267921E9</v>
      </c>
      <c r="J29" s="5">
        <v>46073.83101851852</v>
      </c>
      <c r="K29" s="3" t="s">
        <v>47</v>
      </c>
      <c r="L29" s="3" t="s">
        <v>212</v>
      </c>
      <c r="M29" s="3" t="s">
        <v>157</v>
      </c>
      <c r="N29" s="3" t="s">
        <v>50</v>
      </c>
      <c r="O29" s="3" t="s">
        <v>65</v>
      </c>
      <c r="P29" s="6">
        <v>46117.0</v>
      </c>
      <c r="Q29" s="7" t="s">
        <v>125</v>
      </c>
      <c r="R29" s="4">
        <v>1790.0</v>
      </c>
      <c r="S29" s="3" t="s">
        <v>213</v>
      </c>
      <c r="T29" s="3" t="s">
        <v>54</v>
      </c>
      <c r="U29" s="3" t="s">
        <v>68</v>
      </c>
      <c r="V29" s="3" t="s">
        <v>69</v>
      </c>
      <c r="W29" s="3" t="s">
        <v>70</v>
      </c>
      <c r="X29" s="3" t="s">
        <v>58</v>
      </c>
      <c r="Y29" s="3" t="s">
        <v>59</v>
      </c>
      <c r="Z29" s="4">
        <v>7.0</v>
      </c>
      <c r="AA29" s="3" t="s">
        <v>60</v>
      </c>
      <c r="AB29" s="7">
        <v>119.0</v>
      </c>
      <c r="AC29" s="7">
        <v>0.0</v>
      </c>
      <c r="AD29" s="7">
        <v>119.0</v>
      </c>
      <c r="AE29" s="7">
        <v>88.0</v>
      </c>
      <c r="AF29" s="7">
        <v>0.0</v>
      </c>
      <c r="AG29" s="7">
        <v>88.0</v>
      </c>
      <c r="AH29" s="7">
        <v>8.0</v>
      </c>
      <c r="AI29" s="7">
        <v>0.0</v>
      </c>
      <c r="AJ29" s="7">
        <v>8.0</v>
      </c>
      <c r="AK29" s="7">
        <v>0.0</v>
      </c>
      <c r="AL29" s="7">
        <v>0.0</v>
      </c>
      <c r="AM29" s="7">
        <v>8.0</v>
      </c>
      <c r="AN29" s="8">
        <v>152.0</v>
      </c>
      <c r="AO29" s="4">
        <v>100.0</v>
      </c>
    </row>
    <row r="30">
      <c r="A30" s="3" t="s">
        <v>41</v>
      </c>
      <c r="B30" s="4">
        <v>40409.0</v>
      </c>
      <c r="C30" s="4" t="s">
        <v>127</v>
      </c>
      <c r="D30" s="4" t="s">
        <v>128</v>
      </c>
      <c r="E30" s="3" t="s">
        <v>44</v>
      </c>
      <c r="F30" s="4">
        <v>86746.0</v>
      </c>
      <c r="G30" s="3" t="s">
        <v>214</v>
      </c>
      <c r="H30" s="3" t="s">
        <v>215</v>
      </c>
      <c r="I30" s="4">
        <v>9.575291039E9</v>
      </c>
      <c r="J30" s="5">
        <v>45968.928935185184</v>
      </c>
      <c r="K30" s="3" t="s">
        <v>47</v>
      </c>
      <c r="L30" s="3" t="s">
        <v>216</v>
      </c>
      <c r="M30" s="3" t="s">
        <v>217</v>
      </c>
      <c r="N30" s="3" t="s">
        <v>50</v>
      </c>
      <c r="O30" s="3" t="s">
        <v>65</v>
      </c>
      <c r="P30" s="6">
        <v>46117.0</v>
      </c>
      <c r="Q30" s="7" t="s">
        <v>118</v>
      </c>
      <c r="R30" s="4">
        <v>79.0</v>
      </c>
      <c r="S30" s="3" t="s">
        <v>218</v>
      </c>
      <c r="T30" s="3" t="s">
        <v>135</v>
      </c>
      <c r="U30" s="3" t="s">
        <v>164</v>
      </c>
      <c r="V30" s="3" t="s">
        <v>56</v>
      </c>
      <c r="W30" s="3" t="s">
        <v>57</v>
      </c>
      <c r="X30" s="3" t="s">
        <v>58</v>
      </c>
      <c r="Y30" s="3" t="s">
        <v>59</v>
      </c>
      <c r="Z30" s="4">
        <v>7.0</v>
      </c>
      <c r="AA30" s="3" t="s">
        <v>60</v>
      </c>
      <c r="AB30" s="7">
        <v>62.0</v>
      </c>
      <c r="AC30" s="7">
        <v>0.0</v>
      </c>
      <c r="AD30" s="7">
        <v>62.0</v>
      </c>
      <c r="AE30" s="7">
        <v>62.0</v>
      </c>
      <c r="AF30" s="7">
        <v>0.0</v>
      </c>
      <c r="AG30" s="7">
        <v>62.0</v>
      </c>
      <c r="AH30" s="7">
        <v>6.0</v>
      </c>
      <c r="AI30" s="7">
        <v>0.0</v>
      </c>
      <c r="AJ30" s="7">
        <v>0.0</v>
      </c>
      <c r="AK30" s="7">
        <v>6.0</v>
      </c>
      <c r="AL30" s="7">
        <v>0.0</v>
      </c>
      <c r="AM30" s="7">
        <v>6.0</v>
      </c>
      <c r="AN30" s="8">
        <v>174.0</v>
      </c>
      <c r="AO30" s="4">
        <v>100.0</v>
      </c>
    </row>
    <row r="31">
      <c r="A31" s="3" t="s">
        <v>41</v>
      </c>
      <c r="B31" s="4">
        <v>40411.0</v>
      </c>
      <c r="C31" s="4" t="s">
        <v>127</v>
      </c>
      <c r="D31" s="4" t="s">
        <v>128</v>
      </c>
      <c r="E31" s="3" t="s">
        <v>44</v>
      </c>
      <c r="F31" s="4">
        <v>86746.0</v>
      </c>
      <c r="G31" s="3" t="s">
        <v>214</v>
      </c>
      <c r="H31" s="3" t="s">
        <v>215</v>
      </c>
      <c r="I31" s="4">
        <v>9.575291039E9</v>
      </c>
      <c r="J31" s="5">
        <v>45968.928935185184</v>
      </c>
      <c r="K31" s="3" t="s">
        <v>47</v>
      </c>
      <c r="L31" s="3" t="s">
        <v>216</v>
      </c>
      <c r="M31" s="3" t="s">
        <v>217</v>
      </c>
      <c r="N31" s="3" t="s">
        <v>50</v>
      </c>
      <c r="O31" s="3" t="s">
        <v>65</v>
      </c>
      <c r="P31" s="6">
        <v>46117.0</v>
      </c>
      <c r="Q31" s="7" t="s">
        <v>118</v>
      </c>
      <c r="R31" s="4">
        <v>78.0</v>
      </c>
      <c r="S31" s="3" t="s">
        <v>219</v>
      </c>
      <c r="T31" s="3" t="s">
        <v>135</v>
      </c>
      <c r="U31" s="3" t="s">
        <v>164</v>
      </c>
      <c r="V31" s="3" t="s">
        <v>56</v>
      </c>
      <c r="W31" s="3" t="s">
        <v>57</v>
      </c>
      <c r="X31" s="3" t="s">
        <v>58</v>
      </c>
      <c r="Y31" s="3" t="s">
        <v>59</v>
      </c>
      <c r="Z31" s="4">
        <v>7.0</v>
      </c>
      <c r="AA31" s="3" t="s">
        <v>60</v>
      </c>
      <c r="AB31" s="7">
        <v>61.0</v>
      </c>
      <c r="AC31" s="7">
        <v>0.0</v>
      </c>
      <c r="AD31" s="7">
        <v>61.0</v>
      </c>
      <c r="AE31" s="7">
        <v>60.0</v>
      </c>
      <c r="AF31" s="7">
        <v>0.0</v>
      </c>
      <c r="AG31" s="7">
        <v>60.0</v>
      </c>
      <c r="AH31" s="7">
        <v>6.0</v>
      </c>
      <c r="AI31" s="7">
        <v>0.0</v>
      </c>
      <c r="AJ31" s="7">
        <v>0.0</v>
      </c>
      <c r="AK31" s="7">
        <v>6.0</v>
      </c>
      <c r="AL31" s="7">
        <v>0.0</v>
      </c>
      <c r="AM31" s="7">
        <v>6.0</v>
      </c>
      <c r="AN31" s="8">
        <v>204.0</v>
      </c>
      <c r="AO31" s="4">
        <v>100.0</v>
      </c>
    </row>
    <row r="32">
      <c r="A32" s="3" t="s">
        <v>41</v>
      </c>
      <c r="B32" s="4">
        <v>40269.0</v>
      </c>
      <c r="C32" s="9">
        <v>46026.0</v>
      </c>
      <c r="D32" s="4" t="s">
        <v>43</v>
      </c>
      <c r="E32" s="3" t="s">
        <v>44</v>
      </c>
      <c r="F32" s="4">
        <v>89785.0</v>
      </c>
      <c r="G32" s="3" t="s">
        <v>220</v>
      </c>
      <c r="H32" s="3" t="s">
        <v>221</v>
      </c>
      <c r="I32" s="4">
        <v>9.831218603E9</v>
      </c>
      <c r="J32" s="5">
        <v>46134.552569444444</v>
      </c>
      <c r="K32" s="3" t="s">
        <v>124</v>
      </c>
      <c r="L32" s="3" t="s">
        <v>94</v>
      </c>
      <c r="M32" s="3" t="s">
        <v>64</v>
      </c>
      <c r="N32" s="3" t="s">
        <v>50</v>
      </c>
      <c r="O32" s="3" t="s">
        <v>51</v>
      </c>
      <c r="P32" s="6">
        <v>46331.0</v>
      </c>
      <c r="Q32" s="7" t="s">
        <v>125</v>
      </c>
      <c r="R32" s="4">
        <v>1780.0</v>
      </c>
      <c r="S32" s="3" t="s">
        <v>222</v>
      </c>
      <c r="T32" s="3" t="s">
        <v>54</v>
      </c>
      <c r="U32" s="3" t="s">
        <v>68</v>
      </c>
      <c r="V32" s="3" t="s">
        <v>69</v>
      </c>
      <c r="W32" s="3" t="s">
        <v>70</v>
      </c>
      <c r="X32" s="3" t="s">
        <v>58</v>
      </c>
      <c r="Y32" s="3" t="s">
        <v>59</v>
      </c>
      <c r="Z32" s="4">
        <v>7.0</v>
      </c>
      <c r="AA32" s="3" t="s">
        <v>146</v>
      </c>
      <c r="AB32" s="7">
        <v>110.0</v>
      </c>
      <c r="AC32" s="7">
        <v>0.0</v>
      </c>
      <c r="AD32" s="7">
        <v>110.0</v>
      </c>
      <c r="AE32" s="7">
        <v>65.0</v>
      </c>
      <c r="AF32" s="7">
        <v>0.0</v>
      </c>
      <c r="AG32" s="7">
        <v>65.0</v>
      </c>
      <c r="AH32" s="7">
        <v>6.0</v>
      </c>
      <c r="AI32" s="7">
        <v>0.0</v>
      </c>
      <c r="AJ32" s="7">
        <v>6.0</v>
      </c>
      <c r="AK32" s="7">
        <v>0.0</v>
      </c>
      <c r="AL32" s="7">
        <v>0.0</v>
      </c>
      <c r="AM32" s="7">
        <v>6.0</v>
      </c>
      <c r="AN32" s="8">
        <v>93.0</v>
      </c>
      <c r="AO32" s="4">
        <v>91.18</v>
      </c>
    </row>
    <row r="33">
      <c r="A33" s="3" t="s">
        <v>41</v>
      </c>
      <c r="B33" s="4">
        <v>40383.0</v>
      </c>
      <c r="C33" s="4" t="s">
        <v>223</v>
      </c>
      <c r="D33" s="4" t="s">
        <v>128</v>
      </c>
      <c r="E33" s="3" t="s">
        <v>44</v>
      </c>
      <c r="F33" s="4">
        <v>57790.0</v>
      </c>
      <c r="G33" s="3" t="s">
        <v>224</v>
      </c>
      <c r="H33" s="3" t="s">
        <v>225</v>
      </c>
      <c r="I33" s="4">
        <v>9.740444092E9</v>
      </c>
      <c r="J33" s="5">
        <v>44713.17008101852</v>
      </c>
      <c r="K33" s="3" t="s">
        <v>226</v>
      </c>
      <c r="L33" s="3" t="s">
        <v>161</v>
      </c>
      <c r="M33" s="3" t="s">
        <v>162</v>
      </c>
      <c r="N33" s="3" t="s">
        <v>50</v>
      </c>
      <c r="O33" s="3" t="s">
        <v>51</v>
      </c>
      <c r="P33" s="6">
        <v>46117.0</v>
      </c>
      <c r="Q33" s="7" t="s">
        <v>95</v>
      </c>
      <c r="R33" s="4">
        <v>22.0</v>
      </c>
      <c r="S33" s="3" t="s">
        <v>198</v>
      </c>
      <c r="T33" s="3" t="s">
        <v>135</v>
      </c>
      <c r="U33" s="3" t="s">
        <v>136</v>
      </c>
      <c r="V33" s="3" t="s">
        <v>56</v>
      </c>
      <c r="W33" s="3" t="s">
        <v>57</v>
      </c>
      <c r="X33" s="3" t="s">
        <v>58</v>
      </c>
      <c r="Y33" s="3" t="s">
        <v>59</v>
      </c>
      <c r="Z33" s="4">
        <v>8.0</v>
      </c>
      <c r="AA33" s="3" t="s">
        <v>60</v>
      </c>
      <c r="AB33" s="7">
        <v>75.0</v>
      </c>
      <c r="AC33" s="7">
        <v>29.0</v>
      </c>
      <c r="AD33" s="7">
        <v>46.0</v>
      </c>
      <c r="AE33" s="7">
        <v>75.0</v>
      </c>
      <c r="AF33" s="7">
        <v>29.0</v>
      </c>
      <c r="AG33" s="7">
        <v>46.0</v>
      </c>
      <c r="AH33" s="7">
        <v>6.0</v>
      </c>
      <c r="AI33" s="7">
        <v>0.0</v>
      </c>
      <c r="AJ33" s="7">
        <v>5.0</v>
      </c>
      <c r="AK33" s="7">
        <v>1.0</v>
      </c>
      <c r="AL33" s="7">
        <v>0.0</v>
      </c>
      <c r="AM33" s="7">
        <v>6.0</v>
      </c>
      <c r="AN33" s="8">
        <v>147.0</v>
      </c>
      <c r="AO33" s="4">
        <v>87.5</v>
      </c>
    </row>
    <row r="34">
      <c r="A34" s="3" t="s">
        <v>41</v>
      </c>
      <c r="B34" s="4">
        <v>40332.0</v>
      </c>
      <c r="C34" s="9">
        <v>46026.0</v>
      </c>
      <c r="D34" s="4" t="s">
        <v>43</v>
      </c>
      <c r="E34" s="3" t="s">
        <v>44</v>
      </c>
      <c r="F34" s="4">
        <v>89817.0</v>
      </c>
      <c r="G34" s="3" t="s">
        <v>227</v>
      </c>
      <c r="H34" s="3" t="s">
        <v>228</v>
      </c>
      <c r="I34" s="4">
        <v>7.869454735E9</v>
      </c>
      <c r="J34" s="5">
        <v>46134.85225694445</v>
      </c>
      <c r="K34" s="3" t="s">
        <v>124</v>
      </c>
      <c r="L34" s="3" t="s">
        <v>94</v>
      </c>
      <c r="M34" s="3" t="s">
        <v>64</v>
      </c>
      <c r="N34" s="3" t="s">
        <v>50</v>
      </c>
      <c r="O34" s="3" t="s">
        <v>229</v>
      </c>
      <c r="P34" s="6">
        <v>46117.0</v>
      </c>
      <c r="Q34" s="7" t="s">
        <v>106</v>
      </c>
      <c r="R34" s="4">
        <v>1788.0</v>
      </c>
      <c r="S34" s="3" t="s">
        <v>230</v>
      </c>
      <c r="T34" s="3" t="s">
        <v>54</v>
      </c>
      <c r="U34" s="3" t="s">
        <v>79</v>
      </c>
      <c r="V34" s="3" t="s">
        <v>69</v>
      </c>
      <c r="W34" s="3" t="s">
        <v>70</v>
      </c>
      <c r="X34" s="3" t="s">
        <v>58</v>
      </c>
      <c r="Y34" s="3" t="s">
        <v>59</v>
      </c>
      <c r="Z34" s="4">
        <v>6.0</v>
      </c>
      <c r="AA34" s="3" t="s">
        <v>80</v>
      </c>
      <c r="AB34" s="7">
        <v>65.0</v>
      </c>
      <c r="AC34" s="7">
        <v>0.0</v>
      </c>
      <c r="AD34" s="7">
        <v>65.0</v>
      </c>
      <c r="AE34" s="7">
        <v>41.0</v>
      </c>
      <c r="AF34" s="7">
        <v>0.0</v>
      </c>
      <c r="AG34" s="7">
        <v>41.0</v>
      </c>
      <c r="AH34" s="7">
        <v>8.0</v>
      </c>
      <c r="AI34" s="7">
        <v>0.0</v>
      </c>
      <c r="AJ34" s="7">
        <v>8.0</v>
      </c>
      <c r="AK34" s="7">
        <v>0.0</v>
      </c>
      <c r="AL34" s="7">
        <v>0.0</v>
      </c>
      <c r="AM34" s="7">
        <v>8.0</v>
      </c>
      <c r="AN34" s="8">
        <v>108.0</v>
      </c>
      <c r="AO34" s="4">
        <v>75.0</v>
      </c>
    </row>
    <row r="35">
      <c r="A35" s="3" t="s">
        <v>41</v>
      </c>
      <c r="B35" s="4">
        <v>40218.0</v>
      </c>
      <c r="C35" s="9">
        <v>46026.0</v>
      </c>
      <c r="D35" s="4" t="s">
        <v>81</v>
      </c>
      <c r="E35" s="3" t="s">
        <v>44</v>
      </c>
      <c r="F35" s="4">
        <v>76728.0</v>
      </c>
      <c r="G35" s="3" t="s">
        <v>231</v>
      </c>
      <c r="H35" s="3" t="s">
        <v>232</v>
      </c>
      <c r="I35" s="4">
        <v>9.890586286E9</v>
      </c>
      <c r="J35" s="5">
        <v>45553.96175925926</v>
      </c>
      <c r="K35" s="3" t="s">
        <v>47</v>
      </c>
      <c r="L35" s="3" t="s">
        <v>233</v>
      </c>
      <c r="M35" s="3" t="s">
        <v>64</v>
      </c>
      <c r="N35" s="3" t="s">
        <v>50</v>
      </c>
      <c r="O35" s="3" t="s">
        <v>133</v>
      </c>
      <c r="P35" s="6">
        <v>46147.0</v>
      </c>
      <c r="Q35" s="7" t="s">
        <v>106</v>
      </c>
      <c r="R35" s="4">
        <v>1984.0</v>
      </c>
      <c r="S35" s="3" t="s">
        <v>86</v>
      </c>
      <c r="T35" s="3" t="s">
        <v>87</v>
      </c>
      <c r="U35" s="3" t="s">
        <v>88</v>
      </c>
      <c r="V35" s="3" t="s">
        <v>89</v>
      </c>
      <c r="W35" s="3" t="s">
        <v>57</v>
      </c>
      <c r="X35" s="3" t="s">
        <v>58</v>
      </c>
      <c r="Y35" s="3" t="s">
        <v>59</v>
      </c>
      <c r="Z35" s="4">
        <v>7.0</v>
      </c>
      <c r="AA35" s="3" t="s">
        <v>234</v>
      </c>
      <c r="AB35" s="7">
        <v>41.0</v>
      </c>
      <c r="AC35" s="7">
        <v>23.0</v>
      </c>
      <c r="AD35" s="7">
        <v>18.0</v>
      </c>
      <c r="AE35" s="7">
        <v>41.0</v>
      </c>
      <c r="AF35" s="7">
        <v>23.0</v>
      </c>
      <c r="AG35" s="7">
        <v>18.0</v>
      </c>
      <c r="AH35" s="7">
        <v>6.0</v>
      </c>
      <c r="AI35" s="7">
        <v>0.0</v>
      </c>
      <c r="AJ35" s="7">
        <v>5.0</v>
      </c>
      <c r="AK35" s="7">
        <v>1.0</v>
      </c>
      <c r="AL35" s="7">
        <v>0.0</v>
      </c>
      <c r="AM35" s="7">
        <v>6.0</v>
      </c>
      <c r="AN35" s="8">
        <v>67.0</v>
      </c>
      <c r="AO35" s="4">
        <v>85.9</v>
      </c>
    </row>
    <row r="36">
      <c r="A36" s="3" t="s">
        <v>41</v>
      </c>
      <c r="B36" s="4">
        <v>40413.0</v>
      </c>
      <c r="C36" s="4" t="s">
        <v>127</v>
      </c>
      <c r="D36" s="4" t="s">
        <v>128</v>
      </c>
      <c r="E36" s="3" t="s">
        <v>44</v>
      </c>
      <c r="F36" s="4">
        <v>73390.0</v>
      </c>
      <c r="G36" s="3" t="s">
        <v>235</v>
      </c>
      <c r="H36" s="3" t="s">
        <v>236</v>
      </c>
      <c r="I36" s="3">
        <v>3.7062973436E10</v>
      </c>
      <c r="J36" s="5">
        <v>45468.463055555556</v>
      </c>
      <c r="K36" s="5"/>
      <c r="L36" s="3" t="s">
        <v>237</v>
      </c>
      <c r="M36" s="3" t="s">
        <v>238</v>
      </c>
      <c r="N36" s="3" t="s">
        <v>239</v>
      </c>
      <c r="O36" s="3" t="s">
        <v>51</v>
      </c>
      <c r="P36" s="6">
        <v>46117.0</v>
      </c>
      <c r="Q36" s="7" t="s">
        <v>118</v>
      </c>
      <c r="R36" s="4">
        <v>125.0</v>
      </c>
      <c r="S36" s="3" t="s">
        <v>240</v>
      </c>
      <c r="T36" s="3" t="s">
        <v>135</v>
      </c>
      <c r="U36" s="3" t="s">
        <v>164</v>
      </c>
      <c r="V36" s="3" t="s">
        <v>56</v>
      </c>
      <c r="W36" s="3" t="s">
        <v>57</v>
      </c>
      <c r="X36" s="3" t="s">
        <v>58</v>
      </c>
      <c r="Y36" s="3" t="s">
        <v>59</v>
      </c>
      <c r="Z36" s="4">
        <v>7.0</v>
      </c>
      <c r="AA36" s="3" t="s">
        <v>60</v>
      </c>
      <c r="AB36" s="7">
        <v>66.0</v>
      </c>
      <c r="AC36" s="7">
        <v>0.0</v>
      </c>
      <c r="AD36" s="7">
        <v>66.0</v>
      </c>
      <c r="AE36" s="7">
        <v>66.0</v>
      </c>
      <c r="AF36" s="7">
        <v>0.0</v>
      </c>
      <c r="AG36" s="7">
        <v>66.0</v>
      </c>
      <c r="AH36" s="7">
        <v>6.0</v>
      </c>
      <c r="AI36" s="7">
        <v>0.0</v>
      </c>
      <c r="AJ36" s="7">
        <v>6.0</v>
      </c>
      <c r="AK36" s="7">
        <v>0.0</v>
      </c>
      <c r="AL36" s="7">
        <v>0.0</v>
      </c>
      <c r="AM36" s="7">
        <v>6.0</v>
      </c>
      <c r="AN36" s="8">
        <v>168.0</v>
      </c>
      <c r="AO36" s="4">
        <v>90.32</v>
      </c>
    </row>
    <row r="37">
      <c r="A37" s="3" t="s">
        <v>41</v>
      </c>
      <c r="B37" s="4">
        <v>40415.0</v>
      </c>
      <c r="C37" s="4" t="s">
        <v>127</v>
      </c>
      <c r="D37" s="4" t="s">
        <v>128</v>
      </c>
      <c r="E37" s="3" t="s">
        <v>44</v>
      </c>
      <c r="F37" s="4">
        <v>73390.0</v>
      </c>
      <c r="G37" s="3" t="s">
        <v>235</v>
      </c>
      <c r="H37" s="3" t="s">
        <v>236</v>
      </c>
      <c r="I37" s="3">
        <v>3.7062973436E10</v>
      </c>
      <c r="J37" s="5">
        <v>45468.463055555556</v>
      </c>
      <c r="K37" s="5"/>
      <c r="L37" s="3" t="s">
        <v>237</v>
      </c>
      <c r="M37" s="3" t="s">
        <v>238</v>
      </c>
      <c r="N37" s="3" t="s">
        <v>239</v>
      </c>
      <c r="O37" s="3" t="s">
        <v>51</v>
      </c>
      <c r="P37" s="6">
        <v>46117.0</v>
      </c>
      <c r="Q37" s="7" t="s">
        <v>118</v>
      </c>
      <c r="R37" s="4">
        <v>126.0</v>
      </c>
      <c r="S37" s="3" t="s">
        <v>241</v>
      </c>
      <c r="T37" s="3" t="s">
        <v>135</v>
      </c>
      <c r="U37" s="3" t="s">
        <v>164</v>
      </c>
      <c r="V37" s="3" t="s">
        <v>56</v>
      </c>
      <c r="W37" s="3" t="s">
        <v>57</v>
      </c>
      <c r="X37" s="3" t="s">
        <v>58</v>
      </c>
      <c r="Y37" s="3" t="s">
        <v>59</v>
      </c>
      <c r="Z37" s="4">
        <v>7.0</v>
      </c>
      <c r="AA37" s="3" t="s">
        <v>60</v>
      </c>
      <c r="AB37" s="7">
        <v>81.0</v>
      </c>
      <c r="AC37" s="7">
        <v>0.0</v>
      </c>
      <c r="AD37" s="7">
        <v>81.0</v>
      </c>
      <c r="AE37" s="7">
        <v>80.0</v>
      </c>
      <c r="AF37" s="7">
        <v>0.0</v>
      </c>
      <c r="AG37" s="7">
        <v>80.0</v>
      </c>
      <c r="AH37" s="7">
        <v>6.0</v>
      </c>
      <c r="AI37" s="7">
        <v>0.0</v>
      </c>
      <c r="AJ37" s="7">
        <v>6.0</v>
      </c>
      <c r="AK37" s="7">
        <v>0.0</v>
      </c>
      <c r="AL37" s="7">
        <v>0.0</v>
      </c>
      <c r="AM37" s="7">
        <v>6.0</v>
      </c>
      <c r="AN37" s="8">
        <v>232.0</v>
      </c>
      <c r="AO37" s="4">
        <v>96.67</v>
      </c>
    </row>
    <row r="38">
      <c r="A38" s="3" t="s">
        <v>41</v>
      </c>
      <c r="B38" s="4">
        <v>40284.0</v>
      </c>
      <c r="C38" s="9">
        <v>46026.0</v>
      </c>
      <c r="D38" s="4" t="s">
        <v>43</v>
      </c>
      <c r="E38" s="3" t="s">
        <v>44</v>
      </c>
      <c r="F38" s="4">
        <v>81622.0</v>
      </c>
      <c r="G38" s="3" t="s">
        <v>242</v>
      </c>
      <c r="H38" s="3" t="s">
        <v>243</v>
      </c>
      <c r="I38" s="4">
        <v>9.353772741E9</v>
      </c>
      <c r="J38" s="5">
        <v>45808.613078703704</v>
      </c>
      <c r="K38" s="3" t="s">
        <v>47</v>
      </c>
      <c r="L38" s="3" t="s">
        <v>161</v>
      </c>
      <c r="M38" s="3" t="s">
        <v>162</v>
      </c>
      <c r="N38" s="3" t="s">
        <v>50</v>
      </c>
      <c r="O38" s="3" t="s">
        <v>133</v>
      </c>
      <c r="P38" s="6">
        <v>46027.0</v>
      </c>
      <c r="Q38" s="7" t="s">
        <v>66</v>
      </c>
      <c r="R38" s="4">
        <v>1787.0</v>
      </c>
      <c r="S38" s="3" t="s">
        <v>78</v>
      </c>
      <c r="T38" s="3" t="s">
        <v>54</v>
      </c>
      <c r="U38" s="3" t="s">
        <v>79</v>
      </c>
      <c r="V38" s="3" t="s">
        <v>69</v>
      </c>
      <c r="W38" s="3" t="s">
        <v>70</v>
      </c>
      <c r="X38" s="3" t="s">
        <v>58</v>
      </c>
      <c r="Y38" s="3" t="s">
        <v>59</v>
      </c>
      <c r="Z38" s="4">
        <v>7.0</v>
      </c>
      <c r="AA38" s="3" t="s">
        <v>60</v>
      </c>
      <c r="AB38" s="7">
        <v>121.0</v>
      </c>
      <c r="AC38" s="7">
        <v>0.0</v>
      </c>
      <c r="AD38" s="7">
        <v>121.0</v>
      </c>
      <c r="AE38" s="7">
        <v>90.0</v>
      </c>
      <c r="AF38" s="7">
        <v>0.0</v>
      </c>
      <c r="AG38" s="7">
        <v>90.0</v>
      </c>
      <c r="AH38" s="7">
        <v>8.0</v>
      </c>
      <c r="AI38" s="7">
        <v>0.0</v>
      </c>
      <c r="AJ38" s="7">
        <v>8.0</v>
      </c>
      <c r="AK38" s="7">
        <v>0.0</v>
      </c>
      <c r="AL38" s="7">
        <v>0.0</v>
      </c>
      <c r="AM38" s="7">
        <v>8.0</v>
      </c>
      <c r="AN38" s="8">
        <v>240.0</v>
      </c>
      <c r="AO38" s="4">
        <v>100.0</v>
      </c>
    </row>
    <row r="39">
      <c r="A39" s="3" t="s">
        <v>41</v>
      </c>
      <c r="B39" s="4">
        <v>40408.0</v>
      </c>
      <c r="C39" s="4" t="s">
        <v>127</v>
      </c>
      <c r="D39" s="4" t="s">
        <v>128</v>
      </c>
      <c r="E39" s="3" t="s">
        <v>244</v>
      </c>
      <c r="F39" s="4">
        <v>81622.0</v>
      </c>
      <c r="G39" s="3" t="s">
        <v>242</v>
      </c>
      <c r="H39" s="3" t="s">
        <v>243</v>
      </c>
      <c r="I39" s="4">
        <v>9.353772741E9</v>
      </c>
      <c r="J39" s="5">
        <v>45808.613078703704</v>
      </c>
      <c r="K39" s="3" t="s">
        <v>47</v>
      </c>
      <c r="L39" s="3" t="s">
        <v>161</v>
      </c>
      <c r="M39" s="3" t="s">
        <v>162</v>
      </c>
      <c r="N39" s="3" t="s">
        <v>50</v>
      </c>
      <c r="O39" s="3" t="s">
        <v>133</v>
      </c>
      <c r="P39" s="6">
        <v>46117.0</v>
      </c>
      <c r="Q39" s="7" t="s">
        <v>245</v>
      </c>
      <c r="R39" s="4">
        <v>93.0</v>
      </c>
      <c r="S39" s="3" t="s">
        <v>246</v>
      </c>
      <c r="T39" s="3" t="s">
        <v>135</v>
      </c>
      <c r="U39" s="3" t="s">
        <v>164</v>
      </c>
      <c r="V39" s="3" t="s">
        <v>56</v>
      </c>
      <c r="W39" s="3" t="s">
        <v>57</v>
      </c>
      <c r="X39" s="3" t="s">
        <v>58</v>
      </c>
      <c r="Y39" s="3" t="s">
        <v>59</v>
      </c>
      <c r="Z39" s="4">
        <v>8.0</v>
      </c>
      <c r="AA39" s="3" t="s">
        <v>60</v>
      </c>
      <c r="AB39" s="7">
        <v>62.0</v>
      </c>
      <c r="AC39" s="7">
        <v>0.0</v>
      </c>
      <c r="AD39" s="7">
        <v>62.0</v>
      </c>
      <c r="AE39" s="7">
        <v>61.0</v>
      </c>
      <c r="AF39" s="7">
        <v>0.0</v>
      </c>
      <c r="AG39" s="7">
        <v>61.0</v>
      </c>
      <c r="AH39" s="7">
        <v>5.0</v>
      </c>
      <c r="AI39" s="7">
        <v>0.0</v>
      </c>
      <c r="AJ39" s="7">
        <v>0.0</v>
      </c>
      <c r="AK39" s="7">
        <v>5.0</v>
      </c>
      <c r="AL39" s="7">
        <v>0.0</v>
      </c>
      <c r="AM39" s="7">
        <v>5.0</v>
      </c>
      <c r="AN39" s="8">
        <v>305.0</v>
      </c>
      <c r="AO39" s="4">
        <v>100.0</v>
      </c>
    </row>
    <row r="40">
      <c r="A40" s="3" t="s">
        <v>41</v>
      </c>
      <c r="B40" s="4">
        <v>40410.0</v>
      </c>
      <c r="C40" s="4" t="s">
        <v>127</v>
      </c>
      <c r="D40" s="4" t="s">
        <v>128</v>
      </c>
      <c r="E40" s="3" t="s">
        <v>44</v>
      </c>
      <c r="F40" s="4">
        <v>81622.0</v>
      </c>
      <c r="G40" s="3" t="s">
        <v>242</v>
      </c>
      <c r="H40" s="3" t="s">
        <v>243</v>
      </c>
      <c r="I40" s="4">
        <v>9.353772741E9</v>
      </c>
      <c r="J40" s="5">
        <v>45808.613078703704</v>
      </c>
      <c r="K40" s="3" t="s">
        <v>47</v>
      </c>
      <c r="L40" s="3" t="s">
        <v>161</v>
      </c>
      <c r="M40" s="3" t="s">
        <v>162</v>
      </c>
      <c r="N40" s="3" t="s">
        <v>50</v>
      </c>
      <c r="O40" s="3" t="s">
        <v>133</v>
      </c>
      <c r="P40" s="6">
        <v>46027.0</v>
      </c>
      <c r="Q40" s="7" t="s">
        <v>151</v>
      </c>
      <c r="R40" s="4">
        <v>79.0</v>
      </c>
      <c r="S40" s="3" t="s">
        <v>218</v>
      </c>
      <c r="T40" s="3" t="s">
        <v>135</v>
      </c>
      <c r="U40" s="3" t="s">
        <v>164</v>
      </c>
      <c r="V40" s="3" t="s">
        <v>56</v>
      </c>
      <c r="W40" s="3" t="s">
        <v>57</v>
      </c>
      <c r="X40" s="3" t="s">
        <v>58</v>
      </c>
      <c r="Y40" s="3" t="s">
        <v>59</v>
      </c>
      <c r="Z40" s="4">
        <v>8.0</v>
      </c>
      <c r="AA40" s="3" t="s">
        <v>60</v>
      </c>
      <c r="AB40" s="7">
        <v>62.0</v>
      </c>
      <c r="AC40" s="7">
        <v>0.0</v>
      </c>
      <c r="AD40" s="7">
        <v>62.0</v>
      </c>
      <c r="AE40" s="7">
        <v>62.0</v>
      </c>
      <c r="AF40" s="7">
        <v>0.0</v>
      </c>
      <c r="AG40" s="7">
        <v>62.0</v>
      </c>
      <c r="AH40" s="7">
        <v>5.0</v>
      </c>
      <c r="AI40" s="7">
        <v>0.0</v>
      </c>
      <c r="AJ40" s="7">
        <v>0.0</v>
      </c>
      <c r="AK40" s="7">
        <v>5.0</v>
      </c>
      <c r="AL40" s="7">
        <v>0.0</v>
      </c>
      <c r="AM40" s="7">
        <v>5.0</v>
      </c>
      <c r="AN40" s="8">
        <v>165.0</v>
      </c>
      <c r="AO40" s="4">
        <v>100.0</v>
      </c>
    </row>
    <row r="41">
      <c r="A41" s="3" t="s">
        <v>41</v>
      </c>
      <c r="B41" s="4">
        <v>40412.0</v>
      </c>
      <c r="C41" s="4" t="s">
        <v>127</v>
      </c>
      <c r="D41" s="4" t="s">
        <v>128</v>
      </c>
      <c r="E41" s="3" t="s">
        <v>44</v>
      </c>
      <c r="F41" s="4">
        <v>81622.0</v>
      </c>
      <c r="G41" s="3" t="s">
        <v>242</v>
      </c>
      <c r="H41" s="3" t="s">
        <v>243</v>
      </c>
      <c r="I41" s="4">
        <v>9.353772741E9</v>
      </c>
      <c r="J41" s="5">
        <v>45808.613078703704</v>
      </c>
      <c r="K41" s="3" t="s">
        <v>47</v>
      </c>
      <c r="L41" s="3" t="s">
        <v>161</v>
      </c>
      <c r="M41" s="3" t="s">
        <v>162</v>
      </c>
      <c r="N41" s="3" t="s">
        <v>50</v>
      </c>
      <c r="O41" s="3" t="s">
        <v>133</v>
      </c>
      <c r="P41" s="6">
        <v>46027.0</v>
      </c>
      <c r="Q41" s="7" t="s">
        <v>151</v>
      </c>
      <c r="R41" s="4">
        <v>78.0</v>
      </c>
      <c r="S41" s="3" t="s">
        <v>219</v>
      </c>
      <c r="T41" s="3" t="s">
        <v>135</v>
      </c>
      <c r="U41" s="3" t="s">
        <v>164</v>
      </c>
      <c r="V41" s="3" t="s">
        <v>56</v>
      </c>
      <c r="W41" s="3" t="s">
        <v>57</v>
      </c>
      <c r="X41" s="3" t="s">
        <v>58</v>
      </c>
      <c r="Y41" s="3" t="s">
        <v>59</v>
      </c>
      <c r="Z41" s="4">
        <v>8.0</v>
      </c>
      <c r="AA41" s="3" t="s">
        <v>60</v>
      </c>
      <c r="AB41" s="7">
        <v>61.0</v>
      </c>
      <c r="AC41" s="7">
        <v>0.0</v>
      </c>
      <c r="AD41" s="7">
        <v>61.0</v>
      </c>
      <c r="AE41" s="7">
        <v>60.0</v>
      </c>
      <c r="AF41" s="7">
        <v>0.0</v>
      </c>
      <c r="AG41" s="7">
        <v>60.0</v>
      </c>
      <c r="AH41" s="7">
        <v>5.0</v>
      </c>
      <c r="AI41" s="7">
        <v>0.0</v>
      </c>
      <c r="AJ41" s="7">
        <v>0.0</v>
      </c>
      <c r="AK41" s="7">
        <v>5.0</v>
      </c>
      <c r="AL41" s="7">
        <v>0.0</v>
      </c>
      <c r="AM41" s="7">
        <v>5.0</v>
      </c>
      <c r="AN41" s="8">
        <v>130.0</v>
      </c>
      <c r="AO41" s="4">
        <v>100.0</v>
      </c>
    </row>
    <row r="42">
      <c r="A42" s="3" t="s">
        <v>41</v>
      </c>
      <c r="B42" s="4">
        <v>40428.0</v>
      </c>
      <c r="C42" s="4" t="s">
        <v>127</v>
      </c>
      <c r="D42" s="4" t="s">
        <v>128</v>
      </c>
      <c r="E42" s="3" t="s">
        <v>44</v>
      </c>
      <c r="F42" s="4">
        <v>58131.0</v>
      </c>
      <c r="G42" s="3" t="s">
        <v>247</v>
      </c>
      <c r="H42" s="3" t="s">
        <v>248</v>
      </c>
      <c r="I42" s="4">
        <v>9.049187913E9</v>
      </c>
      <c r="J42" s="5">
        <v>44734.39333333333</v>
      </c>
      <c r="K42" s="3" t="s">
        <v>47</v>
      </c>
      <c r="L42" s="3" t="s">
        <v>174</v>
      </c>
      <c r="M42" s="3" t="s">
        <v>175</v>
      </c>
      <c r="N42" s="3" t="s">
        <v>50</v>
      </c>
      <c r="O42" s="3" t="s">
        <v>249</v>
      </c>
      <c r="P42" s="6">
        <v>46117.0</v>
      </c>
      <c r="Q42" s="7" t="s">
        <v>118</v>
      </c>
      <c r="R42" s="4">
        <v>94.0</v>
      </c>
      <c r="S42" s="3" t="s">
        <v>250</v>
      </c>
      <c r="T42" s="3" t="s">
        <v>135</v>
      </c>
      <c r="U42" s="3" t="s">
        <v>164</v>
      </c>
      <c r="V42" s="3" t="s">
        <v>56</v>
      </c>
      <c r="W42" s="3" t="s">
        <v>57</v>
      </c>
      <c r="X42" s="3" t="s">
        <v>58</v>
      </c>
      <c r="Y42" s="3" t="s">
        <v>59</v>
      </c>
      <c r="Z42" s="4">
        <v>8.0</v>
      </c>
      <c r="AA42" s="3" t="s">
        <v>60</v>
      </c>
      <c r="AB42" s="7">
        <v>71.0</v>
      </c>
      <c r="AC42" s="7">
        <v>0.0</v>
      </c>
      <c r="AD42" s="7">
        <v>71.0</v>
      </c>
      <c r="AE42" s="7">
        <v>71.0</v>
      </c>
      <c r="AF42" s="7">
        <v>0.0</v>
      </c>
      <c r="AG42" s="7">
        <v>71.0</v>
      </c>
      <c r="AH42" s="7">
        <v>6.0</v>
      </c>
      <c r="AI42" s="7">
        <v>0.0</v>
      </c>
      <c r="AJ42" s="7">
        <v>0.0</v>
      </c>
      <c r="AK42" s="7">
        <v>6.0</v>
      </c>
      <c r="AL42" s="7">
        <v>0.0</v>
      </c>
      <c r="AM42" s="7">
        <v>6.0</v>
      </c>
      <c r="AN42" s="8">
        <v>208.0</v>
      </c>
      <c r="AO42" s="4">
        <v>93.69</v>
      </c>
    </row>
    <row r="43">
      <c r="A43" s="3" t="s">
        <v>41</v>
      </c>
      <c r="B43" s="4">
        <v>40271.0</v>
      </c>
      <c r="C43" s="9">
        <v>46026.0</v>
      </c>
      <c r="D43" s="4" t="s">
        <v>43</v>
      </c>
      <c r="E43" s="3" t="s">
        <v>44</v>
      </c>
      <c r="F43" s="4">
        <v>73661.0</v>
      </c>
      <c r="G43" s="3" t="s">
        <v>251</v>
      </c>
      <c r="H43" s="3" t="s">
        <v>252</v>
      </c>
      <c r="I43" s="4">
        <v>8.953568382E9</v>
      </c>
      <c r="J43" s="5">
        <v>45473.58666666667</v>
      </c>
      <c r="K43" s="3" t="s">
        <v>201</v>
      </c>
      <c r="L43" s="3" t="s">
        <v>253</v>
      </c>
      <c r="M43" s="3" t="s">
        <v>54</v>
      </c>
      <c r="N43" s="3" t="s">
        <v>50</v>
      </c>
      <c r="O43" s="3" t="s">
        <v>101</v>
      </c>
      <c r="P43" s="6">
        <v>46208.0</v>
      </c>
      <c r="Q43" s="7" t="s">
        <v>77</v>
      </c>
      <c r="R43" s="4">
        <v>1780.0</v>
      </c>
      <c r="S43" s="3" t="s">
        <v>222</v>
      </c>
      <c r="T43" s="3" t="s">
        <v>54</v>
      </c>
      <c r="U43" s="3" t="s">
        <v>68</v>
      </c>
      <c r="V43" s="3" t="s">
        <v>69</v>
      </c>
      <c r="W43" s="3" t="s">
        <v>70</v>
      </c>
      <c r="X43" s="3" t="s">
        <v>58</v>
      </c>
      <c r="Y43" s="3" t="s">
        <v>59</v>
      </c>
      <c r="Z43" s="4">
        <v>6.0</v>
      </c>
      <c r="AA43" s="3" t="s">
        <v>60</v>
      </c>
      <c r="AB43" s="7">
        <v>110.0</v>
      </c>
      <c r="AC43" s="7">
        <v>0.0</v>
      </c>
      <c r="AD43" s="7">
        <v>110.0</v>
      </c>
      <c r="AE43" s="7">
        <v>65.0</v>
      </c>
      <c r="AF43" s="7">
        <v>0.0</v>
      </c>
      <c r="AG43" s="7">
        <v>65.0</v>
      </c>
      <c r="AH43" s="7">
        <v>7.0</v>
      </c>
      <c r="AI43" s="7">
        <v>0.0</v>
      </c>
      <c r="AJ43" s="7">
        <v>7.0</v>
      </c>
      <c r="AK43" s="7">
        <v>0.0</v>
      </c>
      <c r="AL43" s="7">
        <v>0.0</v>
      </c>
      <c r="AM43" s="7">
        <v>7.0</v>
      </c>
      <c r="AN43" s="8">
        <v>93.0</v>
      </c>
      <c r="AO43" s="4">
        <v>94.9</v>
      </c>
    </row>
    <row r="44">
      <c r="A44" s="3" t="s">
        <v>41</v>
      </c>
      <c r="B44" s="4">
        <v>40307.0</v>
      </c>
      <c r="C44" s="9">
        <v>46299.0</v>
      </c>
      <c r="D44" s="4" t="s">
        <v>91</v>
      </c>
      <c r="E44" s="3" t="s">
        <v>44</v>
      </c>
      <c r="F44" s="4">
        <v>89610.0</v>
      </c>
      <c r="G44" s="3" t="s">
        <v>254</v>
      </c>
      <c r="H44" s="3" t="s">
        <v>255</v>
      </c>
      <c r="I44" s="4">
        <v>8.178167994E9</v>
      </c>
      <c r="J44" s="5">
        <v>46128.83392361111</v>
      </c>
      <c r="K44" s="3" t="s">
        <v>47</v>
      </c>
      <c r="L44" s="3" t="s">
        <v>140</v>
      </c>
      <c r="M44" s="3" t="s">
        <v>140</v>
      </c>
      <c r="N44" s="3" t="s">
        <v>50</v>
      </c>
      <c r="O44" s="3" t="s">
        <v>65</v>
      </c>
      <c r="P44" s="6">
        <v>46058.0</v>
      </c>
      <c r="Q44" s="7" t="s">
        <v>66</v>
      </c>
      <c r="R44" s="4">
        <v>1720.0</v>
      </c>
      <c r="S44" s="3" t="s">
        <v>179</v>
      </c>
      <c r="T44" s="3" t="s">
        <v>54</v>
      </c>
      <c r="U44" s="3" t="s">
        <v>79</v>
      </c>
      <c r="V44" s="3" t="s">
        <v>120</v>
      </c>
      <c r="W44" s="3" t="s">
        <v>57</v>
      </c>
      <c r="X44" s="3" t="s">
        <v>58</v>
      </c>
      <c r="Y44" s="3" t="s">
        <v>59</v>
      </c>
      <c r="Z44" s="4">
        <v>8.0</v>
      </c>
      <c r="AA44" s="3" t="s">
        <v>256</v>
      </c>
      <c r="AB44" s="7">
        <v>57.0</v>
      </c>
      <c r="AC44" s="7">
        <v>0.0</v>
      </c>
      <c r="AD44" s="7">
        <v>57.0</v>
      </c>
      <c r="AE44" s="7">
        <v>57.0</v>
      </c>
      <c r="AF44" s="7">
        <v>0.0</v>
      </c>
      <c r="AG44" s="7">
        <v>57.0</v>
      </c>
      <c r="AH44" s="10">
        <v>5.0</v>
      </c>
      <c r="AI44" s="7">
        <v>0.0</v>
      </c>
      <c r="AJ44" s="7">
        <v>5.0</v>
      </c>
      <c r="AK44" s="10">
        <v>0.0</v>
      </c>
      <c r="AL44" s="7">
        <v>0.0</v>
      </c>
      <c r="AM44" s="10">
        <v>5.0</v>
      </c>
      <c r="AN44" s="8">
        <v>56.0</v>
      </c>
      <c r="AO44" s="4">
        <v>40.0</v>
      </c>
    </row>
    <row r="45">
      <c r="A45" s="3" t="s">
        <v>41</v>
      </c>
      <c r="B45" s="4">
        <v>40289.0</v>
      </c>
      <c r="C45" s="9">
        <v>46026.0</v>
      </c>
      <c r="D45" s="4" t="s">
        <v>43</v>
      </c>
      <c r="E45" s="3" t="s">
        <v>44</v>
      </c>
      <c r="F45" s="4">
        <v>89773.0</v>
      </c>
      <c r="G45" s="3" t="s">
        <v>257</v>
      </c>
      <c r="H45" s="3" t="s">
        <v>258</v>
      </c>
      <c r="I45" s="4">
        <v>9.73032538E9</v>
      </c>
      <c r="J45" s="5">
        <v>46134.537094907406</v>
      </c>
      <c r="K45" s="3" t="s">
        <v>124</v>
      </c>
      <c r="L45" s="3" t="s">
        <v>84</v>
      </c>
      <c r="M45" s="3" t="s">
        <v>64</v>
      </c>
      <c r="N45" s="3" t="s">
        <v>50</v>
      </c>
      <c r="O45" s="3" t="s">
        <v>51</v>
      </c>
      <c r="P45" s="6">
        <v>46147.0</v>
      </c>
      <c r="Q45" s="7" t="s">
        <v>77</v>
      </c>
      <c r="R45" s="4">
        <v>1789.0</v>
      </c>
      <c r="S45" s="3" t="s">
        <v>142</v>
      </c>
      <c r="T45" s="3" t="s">
        <v>54</v>
      </c>
      <c r="U45" s="3" t="s">
        <v>79</v>
      </c>
      <c r="V45" s="3" t="s">
        <v>69</v>
      </c>
      <c r="W45" s="3" t="s">
        <v>70</v>
      </c>
      <c r="X45" s="3" t="s">
        <v>58</v>
      </c>
      <c r="Y45" s="3" t="s">
        <v>59</v>
      </c>
      <c r="Z45" s="4">
        <v>6.0</v>
      </c>
      <c r="AA45" s="3" t="s">
        <v>60</v>
      </c>
      <c r="AB45" s="7">
        <v>91.0</v>
      </c>
      <c r="AC45" s="7">
        <v>0.0</v>
      </c>
      <c r="AD45" s="7">
        <v>91.0</v>
      </c>
      <c r="AE45" s="7">
        <v>58.0</v>
      </c>
      <c r="AF45" s="7">
        <v>0.0</v>
      </c>
      <c r="AG45" s="7">
        <v>58.0</v>
      </c>
      <c r="AH45" s="7">
        <v>8.0</v>
      </c>
      <c r="AI45" s="7">
        <v>0.0</v>
      </c>
      <c r="AJ45" s="7">
        <v>8.0</v>
      </c>
      <c r="AK45" s="7">
        <v>0.0</v>
      </c>
      <c r="AL45" s="7">
        <v>0.0</v>
      </c>
      <c r="AM45" s="7">
        <v>8.0</v>
      </c>
      <c r="AN45" s="8">
        <v>90.0</v>
      </c>
      <c r="AO45" s="4">
        <v>86.54</v>
      </c>
    </row>
    <row r="46">
      <c r="A46" s="3" t="s">
        <v>41</v>
      </c>
      <c r="B46" s="4">
        <v>40393.0</v>
      </c>
      <c r="C46" s="4" t="s">
        <v>127</v>
      </c>
      <c r="D46" s="4" t="s">
        <v>128</v>
      </c>
      <c r="E46" s="3" t="s">
        <v>44</v>
      </c>
      <c r="F46" s="4">
        <v>11826.0</v>
      </c>
      <c r="G46" s="3" t="s">
        <v>259</v>
      </c>
      <c r="H46" s="3" t="s">
        <v>260</v>
      </c>
      <c r="I46" s="4">
        <v>8.433871642E9</v>
      </c>
      <c r="J46" s="5">
        <v>42703.916284722225</v>
      </c>
      <c r="K46" s="3" t="s">
        <v>261</v>
      </c>
      <c r="L46" s="3" t="s">
        <v>84</v>
      </c>
      <c r="M46" s="3" t="s">
        <v>64</v>
      </c>
      <c r="N46" s="3" t="s">
        <v>50</v>
      </c>
      <c r="O46" s="3" t="s">
        <v>262</v>
      </c>
      <c r="P46" s="6">
        <v>46147.0</v>
      </c>
      <c r="Q46" s="7" t="s">
        <v>95</v>
      </c>
      <c r="R46" s="4">
        <v>69.0</v>
      </c>
      <c r="S46" s="3" t="s">
        <v>263</v>
      </c>
      <c r="T46" s="3" t="s">
        <v>135</v>
      </c>
      <c r="U46" s="3" t="s">
        <v>136</v>
      </c>
      <c r="V46" s="3" t="s">
        <v>56</v>
      </c>
      <c r="W46" s="3" t="s">
        <v>57</v>
      </c>
      <c r="X46" s="3" t="s">
        <v>58</v>
      </c>
      <c r="Y46" s="3" t="s">
        <v>59</v>
      </c>
      <c r="Z46" s="4">
        <v>8.0</v>
      </c>
      <c r="AA46" s="3" t="s">
        <v>60</v>
      </c>
      <c r="AB46" s="7">
        <v>57.0</v>
      </c>
      <c r="AC46" s="7">
        <v>0.0</v>
      </c>
      <c r="AD46" s="7">
        <v>57.0</v>
      </c>
      <c r="AE46" s="7">
        <v>57.0</v>
      </c>
      <c r="AF46" s="7">
        <v>0.0</v>
      </c>
      <c r="AG46" s="7">
        <v>57.0</v>
      </c>
      <c r="AH46" s="7">
        <v>6.0</v>
      </c>
      <c r="AI46" s="7">
        <v>0.0</v>
      </c>
      <c r="AJ46" s="7">
        <v>6.0</v>
      </c>
      <c r="AK46" s="7">
        <v>0.0</v>
      </c>
      <c r="AL46" s="7">
        <v>0.0</v>
      </c>
      <c r="AM46" s="7">
        <v>6.0</v>
      </c>
      <c r="AN46" s="8">
        <v>175.0</v>
      </c>
      <c r="AO46" s="4">
        <v>88.38</v>
      </c>
    </row>
    <row r="47">
      <c r="A47" s="3" t="s">
        <v>41</v>
      </c>
      <c r="B47" s="4">
        <v>40395.0</v>
      </c>
      <c r="C47" s="4" t="s">
        <v>127</v>
      </c>
      <c r="D47" s="4" t="s">
        <v>128</v>
      </c>
      <c r="E47" s="3" t="s">
        <v>44</v>
      </c>
      <c r="F47" s="4">
        <v>11826.0</v>
      </c>
      <c r="G47" s="3" t="s">
        <v>259</v>
      </c>
      <c r="H47" s="3" t="s">
        <v>260</v>
      </c>
      <c r="I47" s="4">
        <v>8.433871642E9</v>
      </c>
      <c r="J47" s="5">
        <v>42703.916284722225</v>
      </c>
      <c r="K47" s="3" t="s">
        <v>261</v>
      </c>
      <c r="L47" s="3" t="s">
        <v>84</v>
      </c>
      <c r="M47" s="3" t="s">
        <v>64</v>
      </c>
      <c r="N47" s="3" t="s">
        <v>50</v>
      </c>
      <c r="O47" s="3" t="s">
        <v>262</v>
      </c>
      <c r="P47" s="6">
        <v>46147.0</v>
      </c>
      <c r="Q47" s="7" t="s">
        <v>95</v>
      </c>
      <c r="R47" s="4">
        <v>70.0</v>
      </c>
      <c r="S47" s="3" t="s">
        <v>264</v>
      </c>
      <c r="T47" s="3" t="s">
        <v>135</v>
      </c>
      <c r="U47" s="3" t="s">
        <v>136</v>
      </c>
      <c r="V47" s="3" t="s">
        <v>56</v>
      </c>
      <c r="W47" s="3" t="s">
        <v>57</v>
      </c>
      <c r="X47" s="3" t="s">
        <v>58</v>
      </c>
      <c r="Y47" s="3" t="s">
        <v>59</v>
      </c>
      <c r="Z47" s="4">
        <v>8.0</v>
      </c>
      <c r="AA47" s="3" t="s">
        <v>60</v>
      </c>
      <c r="AB47" s="7">
        <v>60.0</v>
      </c>
      <c r="AC47" s="7">
        <v>0.0</v>
      </c>
      <c r="AD47" s="7">
        <v>60.0</v>
      </c>
      <c r="AE47" s="7">
        <v>60.0</v>
      </c>
      <c r="AF47" s="7">
        <v>0.0</v>
      </c>
      <c r="AG47" s="7">
        <v>60.0</v>
      </c>
      <c r="AH47" s="7">
        <v>6.0</v>
      </c>
      <c r="AI47" s="7">
        <v>0.0</v>
      </c>
      <c r="AJ47" s="7">
        <v>6.0</v>
      </c>
      <c r="AK47" s="7">
        <v>0.0</v>
      </c>
      <c r="AL47" s="7">
        <v>0.0</v>
      </c>
      <c r="AM47" s="7">
        <v>6.0</v>
      </c>
      <c r="AN47" s="8">
        <v>176.0</v>
      </c>
      <c r="AO47" s="4">
        <v>88.89</v>
      </c>
    </row>
    <row r="48">
      <c r="A48" s="3" t="s">
        <v>41</v>
      </c>
      <c r="B48" s="4">
        <v>40299.0</v>
      </c>
      <c r="C48" s="9">
        <v>46026.0</v>
      </c>
      <c r="D48" s="4" t="s">
        <v>43</v>
      </c>
      <c r="E48" s="3" t="s">
        <v>44</v>
      </c>
      <c r="F48" s="4">
        <v>73012.0</v>
      </c>
      <c r="G48" s="3" t="s">
        <v>265</v>
      </c>
      <c r="H48" s="3" t="s">
        <v>266</v>
      </c>
      <c r="I48" s="4">
        <v>7.338081208E9</v>
      </c>
      <c r="J48" s="5">
        <v>45449.797685185185</v>
      </c>
      <c r="K48" s="3" t="s">
        <v>267</v>
      </c>
      <c r="L48" s="3" t="s">
        <v>161</v>
      </c>
      <c r="M48" s="3" t="s">
        <v>162</v>
      </c>
      <c r="N48" s="3" t="s">
        <v>50</v>
      </c>
      <c r="O48" s="3" t="s">
        <v>51</v>
      </c>
      <c r="P48" s="6">
        <v>46147.0</v>
      </c>
      <c r="Q48" s="7" t="s">
        <v>77</v>
      </c>
      <c r="R48" s="4">
        <v>1778.0</v>
      </c>
      <c r="S48" s="3" t="s">
        <v>126</v>
      </c>
      <c r="T48" s="3" t="s">
        <v>54</v>
      </c>
      <c r="U48" s="3" t="s">
        <v>68</v>
      </c>
      <c r="V48" s="3" t="s">
        <v>69</v>
      </c>
      <c r="W48" s="3" t="s">
        <v>70</v>
      </c>
      <c r="X48" s="3" t="s">
        <v>58</v>
      </c>
      <c r="Y48" s="3" t="s">
        <v>59</v>
      </c>
      <c r="Z48" s="4">
        <v>7.0</v>
      </c>
      <c r="AA48" s="3" t="s">
        <v>146</v>
      </c>
      <c r="AB48" s="7">
        <v>116.0</v>
      </c>
      <c r="AC48" s="7">
        <v>0.0</v>
      </c>
      <c r="AD48" s="7">
        <v>116.0</v>
      </c>
      <c r="AE48" s="7">
        <v>80.0</v>
      </c>
      <c r="AF48" s="7">
        <v>0.0</v>
      </c>
      <c r="AG48" s="7">
        <v>80.0</v>
      </c>
      <c r="AH48" s="7">
        <v>8.0</v>
      </c>
      <c r="AI48" s="7">
        <v>0.0</v>
      </c>
      <c r="AJ48" s="7">
        <v>8.0</v>
      </c>
      <c r="AK48" s="7">
        <v>0.0</v>
      </c>
      <c r="AL48" s="7">
        <v>0.0</v>
      </c>
      <c r="AM48" s="7">
        <v>8.0</v>
      </c>
      <c r="AN48" s="8">
        <v>145.0</v>
      </c>
      <c r="AO48" s="4">
        <v>50.35</v>
      </c>
    </row>
    <row r="49">
      <c r="A49" s="3" t="s">
        <v>41</v>
      </c>
      <c r="B49" s="4">
        <v>40215.0</v>
      </c>
      <c r="C49" s="9">
        <v>46026.0</v>
      </c>
      <c r="D49" s="4" t="s">
        <v>81</v>
      </c>
      <c r="E49" s="3" t="s">
        <v>44</v>
      </c>
      <c r="F49" s="4">
        <v>76008.0</v>
      </c>
      <c r="G49" s="3" t="s">
        <v>268</v>
      </c>
      <c r="H49" s="3" t="s">
        <v>269</v>
      </c>
      <c r="I49" s="4">
        <v>9.731338444E9</v>
      </c>
      <c r="J49" s="5">
        <v>45527.47420138889</v>
      </c>
      <c r="K49" s="3" t="s">
        <v>47</v>
      </c>
      <c r="L49" s="3" t="s">
        <v>161</v>
      </c>
      <c r="M49" s="3" t="s">
        <v>162</v>
      </c>
      <c r="N49" s="3" t="s">
        <v>50</v>
      </c>
      <c r="O49" s="3" t="s">
        <v>51</v>
      </c>
      <c r="P49" s="6">
        <v>46147.0</v>
      </c>
      <c r="Q49" s="7" t="s">
        <v>106</v>
      </c>
      <c r="R49" s="4">
        <v>1984.0</v>
      </c>
      <c r="S49" s="3" t="s">
        <v>86</v>
      </c>
      <c r="T49" s="3" t="s">
        <v>87</v>
      </c>
      <c r="U49" s="3" t="s">
        <v>88</v>
      </c>
      <c r="V49" s="3" t="s">
        <v>89</v>
      </c>
      <c r="W49" s="3" t="s">
        <v>57</v>
      </c>
      <c r="X49" s="3" t="s">
        <v>58</v>
      </c>
      <c r="Y49" s="3" t="s">
        <v>59</v>
      </c>
      <c r="Z49" s="4">
        <v>5.0</v>
      </c>
      <c r="AA49" s="3" t="s">
        <v>90</v>
      </c>
      <c r="AB49" s="7">
        <v>41.0</v>
      </c>
      <c r="AC49" s="7">
        <v>23.0</v>
      </c>
      <c r="AD49" s="7">
        <v>18.0</v>
      </c>
      <c r="AE49" s="7">
        <v>41.0</v>
      </c>
      <c r="AF49" s="7">
        <v>23.0</v>
      </c>
      <c r="AG49" s="7">
        <v>18.0</v>
      </c>
      <c r="AH49" s="7">
        <v>7.0</v>
      </c>
      <c r="AI49" s="7">
        <v>0.0</v>
      </c>
      <c r="AJ49" s="7">
        <v>4.0</v>
      </c>
      <c r="AK49" s="7">
        <v>0.0</v>
      </c>
      <c r="AL49" s="7">
        <v>3.0</v>
      </c>
      <c r="AM49" s="7">
        <v>4.0</v>
      </c>
      <c r="AN49" s="8">
        <v>24.0</v>
      </c>
      <c r="AO49" s="4">
        <v>83.33</v>
      </c>
    </row>
    <row r="50">
      <c r="A50" s="3" t="s">
        <v>41</v>
      </c>
      <c r="B50" s="4">
        <v>40277.0</v>
      </c>
      <c r="C50" s="9">
        <v>46026.0</v>
      </c>
      <c r="D50" s="4" t="s">
        <v>43</v>
      </c>
      <c r="E50" s="3" t="s">
        <v>44</v>
      </c>
      <c r="F50" s="4">
        <v>76484.0</v>
      </c>
      <c r="G50" s="3" t="s">
        <v>270</v>
      </c>
      <c r="H50" s="3" t="s">
        <v>271</v>
      </c>
      <c r="I50" s="11">
        <v>9.72E8</v>
      </c>
      <c r="J50" s="5">
        <v>45545.845555555556</v>
      </c>
      <c r="K50" s="3" t="s">
        <v>47</v>
      </c>
      <c r="L50" s="3" t="s">
        <v>272</v>
      </c>
      <c r="M50" s="3" t="s">
        <v>272</v>
      </c>
      <c r="N50" s="3" t="s">
        <v>273</v>
      </c>
      <c r="O50" s="3" t="s">
        <v>274</v>
      </c>
      <c r="P50" s="6">
        <v>46147.0</v>
      </c>
      <c r="Q50" s="7" t="s">
        <v>77</v>
      </c>
      <c r="R50" s="4">
        <v>1792.0</v>
      </c>
      <c r="S50" s="3" t="s">
        <v>275</v>
      </c>
      <c r="T50" s="3" t="s">
        <v>54</v>
      </c>
      <c r="U50" s="3" t="s">
        <v>79</v>
      </c>
      <c r="V50" s="3" t="s">
        <v>69</v>
      </c>
      <c r="W50" s="3" t="s">
        <v>70</v>
      </c>
      <c r="X50" s="3" t="s">
        <v>58</v>
      </c>
      <c r="Y50" s="3" t="s">
        <v>59</v>
      </c>
      <c r="Z50" s="4">
        <v>6.0</v>
      </c>
      <c r="AA50" s="3" t="s">
        <v>60</v>
      </c>
      <c r="AB50" s="7">
        <v>333.0</v>
      </c>
      <c r="AC50" s="7">
        <v>0.0</v>
      </c>
      <c r="AD50" s="7">
        <v>333.0</v>
      </c>
      <c r="AE50" s="7">
        <v>117.0</v>
      </c>
      <c r="AF50" s="7">
        <v>0.0</v>
      </c>
      <c r="AG50" s="7">
        <v>117.0</v>
      </c>
      <c r="AH50" s="7">
        <v>8.0</v>
      </c>
      <c r="AI50" s="7">
        <v>0.0</v>
      </c>
      <c r="AJ50" s="7">
        <v>8.0</v>
      </c>
      <c r="AK50" s="7">
        <v>0.0</v>
      </c>
      <c r="AL50" s="7">
        <v>0.0</v>
      </c>
      <c r="AM50" s="7">
        <v>8.0</v>
      </c>
      <c r="AN50" s="8">
        <v>88.0</v>
      </c>
      <c r="AO50" s="4">
        <v>100.0</v>
      </c>
    </row>
    <row r="51">
      <c r="A51" s="3" t="s">
        <v>41</v>
      </c>
      <c r="B51" s="4">
        <v>40220.0</v>
      </c>
      <c r="C51" s="9">
        <v>46026.0</v>
      </c>
      <c r="D51" s="4" t="s">
        <v>81</v>
      </c>
      <c r="E51" s="3" t="s">
        <v>44</v>
      </c>
      <c r="F51" s="4">
        <v>81798.0</v>
      </c>
      <c r="G51" s="3" t="s">
        <v>276</v>
      </c>
      <c r="H51" s="3" t="s">
        <v>277</v>
      </c>
      <c r="I51" s="4">
        <v>9.342130832E9</v>
      </c>
      <c r="J51" s="5">
        <v>45818.03192129629</v>
      </c>
      <c r="K51" s="3" t="s">
        <v>47</v>
      </c>
      <c r="L51" s="3" t="s">
        <v>278</v>
      </c>
      <c r="M51" s="3" t="s">
        <v>112</v>
      </c>
      <c r="N51" s="3" t="s">
        <v>50</v>
      </c>
      <c r="O51" s="3" t="s">
        <v>65</v>
      </c>
      <c r="P51" s="6">
        <v>46117.0</v>
      </c>
      <c r="Q51" s="7" t="s">
        <v>85</v>
      </c>
      <c r="R51" s="4">
        <v>1984.0</v>
      </c>
      <c r="S51" s="3" t="s">
        <v>86</v>
      </c>
      <c r="T51" s="3" t="s">
        <v>87</v>
      </c>
      <c r="U51" s="3" t="s">
        <v>88</v>
      </c>
      <c r="V51" s="3" t="s">
        <v>89</v>
      </c>
      <c r="W51" s="3" t="s">
        <v>57</v>
      </c>
      <c r="X51" s="3" t="s">
        <v>58</v>
      </c>
      <c r="Y51" s="3" t="s">
        <v>59</v>
      </c>
      <c r="Z51" s="4">
        <v>8.0</v>
      </c>
      <c r="AA51" s="3" t="s">
        <v>234</v>
      </c>
      <c r="AB51" s="7">
        <v>41.0</v>
      </c>
      <c r="AC51" s="7">
        <v>23.0</v>
      </c>
      <c r="AD51" s="7">
        <v>18.0</v>
      </c>
      <c r="AE51" s="7">
        <v>41.0</v>
      </c>
      <c r="AF51" s="7">
        <v>23.0</v>
      </c>
      <c r="AG51" s="7">
        <v>18.0</v>
      </c>
      <c r="AH51" s="7">
        <v>7.0</v>
      </c>
      <c r="AI51" s="7">
        <v>0.0</v>
      </c>
      <c r="AJ51" s="7">
        <v>4.0</v>
      </c>
      <c r="AK51" s="7">
        <v>2.0</v>
      </c>
      <c r="AL51" s="7">
        <v>1.0</v>
      </c>
      <c r="AM51" s="7">
        <v>6.0</v>
      </c>
      <c r="AN51" s="8">
        <v>49.0</v>
      </c>
      <c r="AO51" s="4">
        <v>90.74</v>
      </c>
    </row>
    <row r="52">
      <c r="A52" s="3" t="s">
        <v>41</v>
      </c>
      <c r="B52" s="4">
        <v>40329.0</v>
      </c>
      <c r="C52" s="9">
        <v>46026.0</v>
      </c>
      <c r="D52" s="4" t="s">
        <v>43</v>
      </c>
      <c r="E52" s="3" t="s">
        <v>44</v>
      </c>
      <c r="F52" s="4">
        <v>89739.0</v>
      </c>
      <c r="G52" s="3" t="s">
        <v>279</v>
      </c>
      <c r="H52" s="3" t="s">
        <v>280</v>
      </c>
      <c r="I52" s="4">
        <v>8.976430018E9</v>
      </c>
      <c r="J52" s="5">
        <v>46134.53083333333</v>
      </c>
      <c r="K52" s="3" t="s">
        <v>124</v>
      </c>
      <c r="L52" s="3" t="s">
        <v>94</v>
      </c>
      <c r="M52" s="3" t="s">
        <v>64</v>
      </c>
      <c r="N52" s="3" t="s">
        <v>50</v>
      </c>
      <c r="O52" s="3" t="s">
        <v>51</v>
      </c>
      <c r="P52" s="6">
        <v>46147.0</v>
      </c>
      <c r="Q52" s="7" t="s">
        <v>77</v>
      </c>
      <c r="R52" s="4">
        <v>1782.0</v>
      </c>
      <c r="S52" s="3" t="s">
        <v>281</v>
      </c>
      <c r="T52" s="3" t="s">
        <v>54</v>
      </c>
      <c r="U52" s="3" t="s">
        <v>68</v>
      </c>
      <c r="V52" s="3" t="s">
        <v>69</v>
      </c>
      <c r="W52" s="3" t="s">
        <v>70</v>
      </c>
      <c r="X52" s="3" t="s">
        <v>58</v>
      </c>
      <c r="Y52" s="3" t="s">
        <v>59</v>
      </c>
      <c r="Z52" s="4">
        <v>6.0</v>
      </c>
      <c r="AA52" s="3" t="s">
        <v>60</v>
      </c>
      <c r="AB52" s="7">
        <v>112.0</v>
      </c>
      <c r="AC52" s="7">
        <v>0.0</v>
      </c>
      <c r="AD52" s="7">
        <v>112.0</v>
      </c>
      <c r="AE52" s="7">
        <v>74.0</v>
      </c>
      <c r="AF52" s="7">
        <v>0.0</v>
      </c>
      <c r="AG52" s="7">
        <v>74.0</v>
      </c>
      <c r="AH52" s="7">
        <v>8.0</v>
      </c>
      <c r="AI52" s="7">
        <v>0.0</v>
      </c>
      <c r="AJ52" s="7">
        <v>8.0</v>
      </c>
      <c r="AK52" s="7">
        <v>0.0</v>
      </c>
      <c r="AL52" s="7">
        <v>0.0</v>
      </c>
      <c r="AM52" s="7">
        <v>8.0</v>
      </c>
      <c r="AN52" s="8">
        <v>87.0</v>
      </c>
      <c r="AO52" s="4">
        <v>49.43</v>
      </c>
    </row>
    <row r="53">
      <c r="A53" s="3" t="s">
        <v>41</v>
      </c>
      <c r="B53" s="4">
        <v>40264.0</v>
      </c>
      <c r="C53" s="9">
        <v>46026.0</v>
      </c>
      <c r="D53" s="4" t="s">
        <v>43</v>
      </c>
      <c r="E53" s="3" t="s">
        <v>44</v>
      </c>
      <c r="F53" s="4">
        <v>87570.0</v>
      </c>
      <c r="G53" s="3" t="s">
        <v>282</v>
      </c>
      <c r="H53" s="3" t="s">
        <v>283</v>
      </c>
      <c r="I53" s="4">
        <v>8.8828233E9</v>
      </c>
      <c r="J53" s="5">
        <v>46009.63891203704</v>
      </c>
      <c r="K53" s="3" t="s">
        <v>47</v>
      </c>
      <c r="L53" s="3" t="s">
        <v>139</v>
      </c>
      <c r="M53" s="3" t="s">
        <v>140</v>
      </c>
      <c r="N53" s="3" t="s">
        <v>50</v>
      </c>
      <c r="O53" s="3" t="s">
        <v>101</v>
      </c>
      <c r="P53" s="6">
        <v>46147.0</v>
      </c>
      <c r="Q53" s="7" t="s">
        <v>77</v>
      </c>
      <c r="R53" s="4">
        <v>1790.0</v>
      </c>
      <c r="S53" s="3" t="s">
        <v>213</v>
      </c>
      <c r="T53" s="3" t="s">
        <v>54</v>
      </c>
      <c r="U53" s="3" t="s">
        <v>68</v>
      </c>
      <c r="V53" s="3" t="s">
        <v>69</v>
      </c>
      <c r="W53" s="3" t="s">
        <v>70</v>
      </c>
      <c r="X53" s="3" t="s">
        <v>58</v>
      </c>
      <c r="Y53" s="3" t="s">
        <v>59</v>
      </c>
      <c r="Z53" s="4">
        <v>8.0</v>
      </c>
      <c r="AA53" s="3" t="s">
        <v>80</v>
      </c>
      <c r="AB53" s="7">
        <v>119.0</v>
      </c>
      <c r="AC53" s="7">
        <v>0.0</v>
      </c>
      <c r="AD53" s="7">
        <v>119.0</v>
      </c>
      <c r="AE53" s="7">
        <v>88.0</v>
      </c>
      <c r="AF53" s="7">
        <v>0.0</v>
      </c>
      <c r="AG53" s="7">
        <v>88.0</v>
      </c>
      <c r="AH53" s="7">
        <v>8.0</v>
      </c>
      <c r="AI53" s="7">
        <v>0.0</v>
      </c>
      <c r="AJ53" s="7">
        <v>8.0</v>
      </c>
      <c r="AK53" s="7">
        <v>0.0</v>
      </c>
      <c r="AL53" s="7">
        <v>0.0</v>
      </c>
      <c r="AM53" s="7">
        <v>8.0</v>
      </c>
      <c r="AN53" s="8">
        <v>173.0</v>
      </c>
      <c r="AO53" s="4">
        <v>80.09</v>
      </c>
    </row>
    <row r="54">
      <c r="A54" s="3" t="s">
        <v>41</v>
      </c>
      <c r="B54" s="4">
        <v>40238.0</v>
      </c>
      <c r="C54" s="9">
        <v>46026.0</v>
      </c>
      <c r="D54" s="4" t="s">
        <v>43</v>
      </c>
      <c r="E54" s="3" t="s">
        <v>44</v>
      </c>
      <c r="F54" s="4">
        <v>81637.0</v>
      </c>
      <c r="G54" s="3" t="s">
        <v>284</v>
      </c>
      <c r="H54" s="3" t="s">
        <v>285</v>
      </c>
      <c r="I54" s="4">
        <v>8.800154646E9</v>
      </c>
      <c r="J54" s="5">
        <v>45809.55028935185</v>
      </c>
      <c r="K54" s="3" t="s">
        <v>47</v>
      </c>
      <c r="L54" s="3" t="s">
        <v>286</v>
      </c>
      <c r="M54" s="3" t="s">
        <v>287</v>
      </c>
      <c r="N54" s="3" t="s">
        <v>288</v>
      </c>
      <c r="O54" s="3" t="s">
        <v>65</v>
      </c>
      <c r="P54" s="6">
        <v>46147.0</v>
      </c>
      <c r="Q54" s="7" t="s">
        <v>77</v>
      </c>
      <c r="R54" s="4">
        <v>1774.0</v>
      </c>
      <c r="S54" s="3" t="s">
        <v>102</v>
      </c>
      <c r="T54" s="3" t="s">
        <v>54</v>
      </c>
      <c r="U54" s="3" t="s">
        <v>79</v>
      </c>
      <c r="V54" s="3" t="s">
        <v>69</v>
      </c>
      <c r="W54" s="3" t="s">
        <v>70</v>
      </c>
      <c r="X54" s="3" t="s">
        <v>58</v>
      </c>
      <c r="Y54" s="3" t="s">
        <v>59</v>
      </c>
      <c r="Z54" s="4">
        <v>7.0</v>
      </c>
      <c r="AA54" s="3" t="s">
        <v>60</v>
      </c>
      <c r="AB54" s="7">
        <v>104.0</v>
      </c>
      <c r="AC54" s="7">
        <v>0.0</v>
      </c>
      <c r="AD54" s="7">
        <v>104.0</v>
      </c>
      <c r="AE54" s="7">
        <v>65.0</v>
      </c>
      <c r="AF54" s="7">
        <v>0.0</v>
      </c>
      <c r="AG54" s="7">
        <v>65.0</v>
      </c>
      <c r="AH54" s="7">
        <v>8.0</v>
      </c>
      <c r="AI54" s="7">
        <v>0.0</v>
      </c>
      <c r="AJ54" s="7">
        <v>8.0</v>
      </c>
      <c r="AK54" s="7">
        <v>0.0</v>
      </c>
      <c r="AL54" s="7">
        <v>0.0</v>
      </c>
      <c r="AM54" s="7">
        <v>8.0</v>
      </c>
      <c r="AN54" s="8">
        <v>133.0</v>
      </c>
      <c r="AO54" s="4">
        <v>75.57</v>
      </c>
    </row>
    <row r="55">
      <c r="A55" s="3" t="s">
        <v>41</v>
      </c>
      <c r="B55" s="4">
        <v>40311.0</v>
      </c>
      <c r="C55" s="9">
        <v>46299.0</v>
      </c>
      <c r="D55" s="4" t="s">
        <v>91</v>
      </c>
      <c r="E55" s="3" t="s">
        <v>44</v>
      </c>
      <c r="F55" s="4">
        <v>83813.0</v>
      </c>
      <c r="G55" s="3" t="s">
        <v>289</v>
      </c>
      <c r="H55" s="3" t="s">
        <v>290</v>
      </c>
      <c r="I55" s="4">
        <v>9.518888736E9</v>
      </c>
      <c r="J55" s="5">
        <v>45855.200844907406</v>
      </c>
      <c r="K55" s="3" t="s">
        <v>155</v>
      </c>
      <c r="L55" s="3" t="s">
        <v>291</v>
      </c>
      <c r="M55" s="3" t="s">
        <v>292</v>
      </c>
      <c r="N55" s="3" t="s">
        <v>50</v>
      </c>
      <c r="O55" s="3" t="s">
        <v>51</v>
      </c>
      <c r="P55" s="6">
        <v>46117.0</v>
      </c>
      <c r="Q55" s="7" t="s">
        <v>245</v>
      </c>
      <c r="R55" s="4">
        <v>1986.0</v>
      </c>
      <c r="S55" s="3" t="s">
        <v>119</v>
      </c>
      <c r="T55" s="3" t="s">
        <v>54</v>
      </c>
      <c r="U55" s="3" t="s">
        <v>79</v>
      </c>
      <c r="V55" s="3" t="s">
        <v>120</v>
      </c>
      <c r="W55" s="3" t="s">
        <v>57</v>
      </c>
      <c r="X55" s="3" t="s">
        <v>58</v>
      </c>
      <c r="Y55" s="3" t="s">
        <v>59</v>
      </c>
      <c r="Z55" s="4">
        <v>8.0</v>
      </c>
      <c r="AA55" s="3" t="s">
        <v>121</v>
      </c>
      <c r="AB55" s="7">
        <v>79.0</v>
      </c>
      <c r="AC55" s="7">
        <v>31.0</v>
      </c>
      <c r="AD55" s="7">
        <v>48.0</v>
      </c>
      <c r="AE55" s="7">
        <v>79.0</v>
      </c>
      <c r="AF55" s="7">
        <v>31.0</v>
      </c>
      <c r="AG55" s="7">
        <v>48.0</v>
      </c>
      <c r="AH55" s="7">
        <v>5.0</v>
      </c>
      <c r="AI55" s="7">
        <v>0.0</v>
      </c>
      <c r="AJ55" s="7">
        <v>1.0</v>
      </c>
      <c r="AK55" s="7">
        <v>4.0</v>
      </c>
      <c r="AL55" s="7">
        <v>0.0</v>
      </c>
      <c r="AM55" s="7">
        <v>5.0</v>
      </c>
      <c r="AN55" s="8">
        <v>145.0</v>
      </c>
      <c r="AO55" s="4">
        <v>72.94</v>
      </c>
    </row>
    <row r="56">
      <c r="A56" s="3" t="s">
        <v>41</v>
      </c>
      <c r="B56" s="4">
        <v>40223.0</v>
      </c>
      <c r="C56" s="9">
        <v>46026.0</v>
      </c>
      <c r="D56" s="4" t="s">
        <v>43</v>
      </c>
      <c r="E56" s="3" t="s">
        <v>44</v>
      </c>
      <c r="F56" s="4">
        <v>89611.0</v>
      </c>
      <c r="G56" s="3" t="s">
        <v>293</v>
      </c>
      <c r="H56" s="3" t="s">
        <v>294</v>
      </c>
      <c r="I56" s="3">
        <v>9.001358401E9</v>
      </c>
      <c r="J56" s="5">
        <v>46128.88277777778</v>
      </c>
      <c r="K56" s="3" t="s">
        <v>47</v>
      </c>
      <c r="L56" s="3" t="s">
        <v>291</v>
      </c>
      <c r="M56" s="3" t="s">
        <v>292</v>
      </c>
      <c r="N56" s="3" t="s">
        <v>50</v>
      </c>
      <c r="O56" s="3" t="s">
        <v>65</v>
      </c>
      <c r="P56" s="6">
        <v>46117.0</v>
      </c>
      <c r="Q56" s="7" t="s">
        <v>125</v>
      </c>
      <c r="R56" s="4">
        <v>1775.0</v>
      </c>
      <c r="S56" s="3" t="s">
        <v>295</v>
      </c>
      <c r="T56" s="3" t="s">
        <v>54</v>
      </c>
      <c r="U56" s="3" t="s">
        <v>79</v>
      </c>
      <c r="V56" s="3" t="s">
        <v>69</v>
      </c>
      <c r="W56" s="3" t="s">
        <v>70</v>
      </c>
      <c r="X56" s="3" t="s">
        <v>58</v>
      </c>
      <c r="Y56" s="3" t="s">
        <v>59</v>
      </c>
      <c r="Z56" s="4">
        <v>6.0</v>
      </c>
      <c r="AA56" s="3" t="s">
        <v>80</v>
      </c>
      <c r="AB56" s="7">
        <v>97.0</v>
      </c>
      <c r="AC56" s="7">
        <v>0.0</v>
      </c>
      <c r="AD56" s="7">
        <v>97.0</v>
      </c>
      <c r="AE56" s="7">
        <v>49.0</v>
      </c>
      <c r="AF56" s="7">
        <v>0.0</v>
      </c>
      <c r="AG56" s="7">
        <v>49.0</v>
      </c>
      <c r="AH56" s="7">
        <v>8.0</v>
      </c>
      <c r="AI56" s="7">
        <v>0.0</v>
      </c>
      <c r="AJ56" s="7">
        <v>8.0</v>
      </c>
      <c r="AK56" s="7">
        <v>0.0</v>
      </c>
      <c r="AL56" s="7">
        <v>0.0</v>
      </c>
      <c r="AM56" s="7">
        <v>8.0</v>
      </c>
      <c r="AN56" s="8">
        <v>137.0</v>
      </c>
      <c r="AO56" s="4">
        <v>77.84</v>
      </c>
    </row>
    <row r="57">
      <c r="A57" s="3" t="s">
        <v>41</v>
      </c>
      <c r="B57" s="4">
        <v>40345.0</v>
      </c>
      <c r="C57" s="9">
        <v>46026.0</v>
      </c>
      <c r="D57" s="4" t="s">
        <v>43</v>
      </c>
      <c r="E57" s="3" t="s">
        <v>44</v>
      </c>
      <c r="F57" s="4">
        <v>73651.0</v>
      </c>
      <c r="G57" s="3" t="s">
        <v>296</v>
      </c>
      <c r="H57" s="3" t="s">
        <v>297</v>
      </c>
      <c r="I57" s="4">
        <v>9.336875278E9</v>
      </c>
      <c r="J57" s="5">
        <v>45473.56689814815</v>
      </c>
      <c r="K57" s="3" t="s">
        <v>201</v>
      </c>
      <c r="L57" s="3" t="s">
        <v>253</v>
      </c>
      <c r="M57" s="3" t="s">
        <v>54</v>
      </c>
      <c r="N57" s="3" t="s">
        <v>50</v>
      </c>
      <c r="O57" s="3" t="s">
        <v>101</v>
      </c>
      <c r="P57" s="6">
        <v>46178.0</v>
      </c>
      <c r="Q57" s="7" t="s">
        <v>125</v>
      </c>
      <c r="R57" s="4">
        <v>1776.0</v>
      </c>
      <c r="S57" s="3" t="s">
        <v>298</v>
      </c>
      <c r="T57" s="3" t="s">
        <v>54</v>
      </c>
      <c r="U57" s="3" t="s">
        <v>79</v>
      </c>
      <c r="V57" s="3" t="s">
        <v>69</v>
      </c>
      <c r="W57" s="3" t="s">
        <v>70</v>
      </c>
      <c r="X57" s="3" t="s">
        <v>58</v>
      </c>
      <c r="Y57" s="3" t="s">
        <v>59</v>
      </c>
      <c r="Z57" s="4">
        <v>7.0</v>
      </c>
      <c r="AA57" s="3" t="s">
        <v>146</v>
      </c>
      <c r="AB57" s="7">
        <v>122.0</v>
      </c>
      <c r="AC57" s="7">
        <v>0.0</v>
      </c>
      <c r="AD57" s="7">
        <v>122.0</v>
      </c>
      <c r="AE57" s="7">
        <v>97.0</v>
      </c>
      <c r="AF57" s="7">
        <v>0.0</v>
      </c>
      <c r="AG57" s="7">
        <v>97.0</v>
      </c>
      <c r="AH57" s="7">
        <v>7.0</v>
      </c>
      <c r="AI57" s="7">
        <v>0.0</v>
      </c>
      <c r="AJ57" s="7">
        <v>7.0</v>
      </c>
      <c r="AK57" s="7">
        <v>0.0</v>
      </c>
      <c r="AL57" s="7">
        <v>0.0</v>
      </c>
      <c r="AM57" s="7">
        <v>7.0</v>
      </c>
      <c r="AN57" s="8">
        <v>209.0</v>
      </c>
      <c r="AO57" s="4">
        <v>99.52</v>
      </c>
    </row>
    <row r="58">
      <c r="A58" s="3" t="s">
        <v>41</v>
      </c>
      <c r="B58" s="4">
        <v>40353.0</v>
      </c>
      <c r="C58" s="9">
        <v>46026.0</v>
      </c>
      <c r="D58" s="4" t="s">
        <v>43</v>
      </c>
      <c r="E58" s="3" t="s">
        <v>44</v>
      </c>
      <c r="F58" s="4">
        <v>73651.0</v>
      </c>
      <c r="G58" s="3" t="s">
        <v>296</v>
      </c>
      <c r="H58" s="3" t="s">
        <v>297</v>
      </c>
      <c r="I58" s="4">
        <v>9.336875278E9</v>
      </c>
      <c r="J58" s="5">
        <v>45473.56689814815</v>
      </c>
      <c r="K58" s="3" t="s">
        <v>201</v>
      </c>
      <c r="L58" s="3" t="s">
        <v>253</v>
      </c>
      <c r="M58" s="3" t="s">
        <v>54</v>
      </c>
      <c r="N58" s="3" t="s">
        <v>50</v>
      </c>
      <c r="O58" s="3" t="s">
        <v>101</v>
      </c>
      <c r="P58" s="6">
        <v>46178.0</v>
      </c>
      <c r="Q58" s="7" t="s">
        <v>299</v>
      </c>
      <c r="R58" s="4">
        <v>1779.0</v>
      </c>
      <c r="S58" s="3" t="s">
        <v>300</v>
      </c>
      <c r="T58" s="3" t="s">
        <v>54</v>
      </c>
      <c r="U58" s="3" t="s">
        <v>68</v>
      </c>
      <c r="V58" s="3" t="s">
        <v>69</v>
      </c>
      <c r="W58" s="3" t="s">
        <v>70</v>
      </c>
      <c r="X58" s="3" t="s">
        <v>58</v>
      </c>
      <c r="Y58" s="3" t="s">
        <v>59</v>
      </c>
      <c r="Z58" s="4">
        <v>6.0</v>
      </c>
      <c r="AA58" s="3" t="s">
        <v>60</v>
      </c>
      <c r="AB58" s="7">
        <v>112.0</v>
      </c>
      <c r="AC58" s="7">
        <v>0.0</v>
      </c>
      <c r="AD58" s="7">
        <v>112.0</v>
      </c>
      <c r="AE58" s="7">
        <v>76.0</v>
      </c>
      <c r="AF58" s="7">
        <v>0.0</v>
      </c>
      <c r="AG58" s="7">
        <v>76.0</v>
      </c>
      <c r="AH58" s="7">
        <v>8.0</v>
      </c>
      <c r="AI58" s="7">
        <v>0.0</v>
      </c>
      <c r="AJ58" s="7">
        <v>8.0</v>
      </c>
      <c r="AK58" s="7">
        <v>0.0</v>
      </c>
      <c r="AL58" s="7">
        <v>0.0</v>
      </c>
      <c r="AM58" s="7">
        <v>8.0</v>
      </c>
      <c r="AN58" s="8">
        <v>240.0</v>
      </c>
      <c r="AO58" s="4">
        <v>100.0</v>
      </c>
    </row>
    <row r="59">
      <c r="A59" s="3" t="s">
        <v>41</v>
      </c>
      <c r="B59" s="4">
        <v>40354.0</v>
      </c>
      <c r="C59" s="9">
        <v>46026.0</v>
      </c>
      <c r="D59" s="4" t="s">
        <v>43</v>
      </c>
      <c r="E59" s="3" t="s">
        <v>44</v>
      </c>
      <c r="F59" s="4">
        <v>73651.0</v>
      </c>
      <c r="G59" s="3" t="s">
        <v>296</v>
      </c>
      <c r="H59" s="3" t="s">
        <v>297</v>
      </c>
      <c r="I59" s="4">
        <v>9.336875278E9</v>
      </c>
      <c r="J59" s="5">
        <v>45473.56689814815</v>
      </c>
      <c r="K59" s="3" t="s">
        <v>201</v>
      </c>
      <c r="L59" s="3" t="s">
        <v>253</v>
      </c>
      <c r="M59" s="3" t="s">
        <v>54</v>
      </c>
      <c r="N59" s="3" t="s">
        <v>50</v>
      </c>
      <c r="O59" s="3" t="s">
        <v>101</v>
      </c>
      <c r="P59" s="6">
        <v>46239.0</v>
      </c>
      <c r="Q59" s="7" t="s">
        <v>299</v>
      </c>
      <c r="R59" s="4">
        <v>1779.0</v>
      </c>
      <c r="S59" s="3" t="s">
        <v>300</v>
      </c>
      <c r="T59" s="3" t="s">
        <v>54</v>
      </c>
      <c r="U59" s="3" t="s">
        <v>68</v>
      </c>
      <c r="V59" s="3" t="s">
        <v>69</v>
      </c>
      <c r="W59" s="3" t="s">
        <v>70</v>
      </c>
      <c r="X59" s="3" t="s">
        <v>58</v>
      </c>
      <c r="Y59" s="3" t="s">
        <v>59</v>
      </c>
      <c r="Z59" s="4">
        <v>7.0</v>
      </c>
      <c r="AA59" s="3" t="s">
        <v>60</v>
      </c>
      <c r="AB59" s="7">
        <v>112.0</v>
      </c>
      <c r="AC59" s="7">
        <v>0.0</v>
      </c>
      <c r="AD59" s="7">
        <v>112.0</v>
      </c>
      <c r="AE59" s="7">
        <v>76.0</v>
      </c>
      <c r="AF59" s="7">
        <v>0.0</v>
      </c>
      <c r="AG59" s="7">
        <v>76.0</v>
      </c>
      <c r="AH59" s="7">
        <v>7.0</v>
      </c>
      <c r="AI59" s="7">
        <v>0.0</v>
      </c>
      <c r="AJ59" s="7">
        <v>7.0</v>
      </c>
      <c r="AK59" s="7">
        <v>0.0</v>
      </c>
      <c r="AL59" s="7">
        <v>0.0</v>
      </c>
      <c r="AM59" s="7">
        <v>7.0</v>
      </c>
      <c r="AN59" s="8">
        <v>84.0</v>
      </c>
      <c r="AO59" s="4">
        <v>100.0</v>
      </c>
    </row>
    <row r="60">
      <c r="A60" s="3" t="s">
        <v>41</v>
      </c>
      <c r="B60" s="4">
        <v>40355.0</v>
      </c>
      <c r="C60" s="9">
        <v>46026.0</v>
      </c>
      <c r="D60" s="4" t="s">
        <v>43</v>
      </c>
      <c r="E60" s="3" t="s">
        <v>44</v>
      </c>
      <c r="F60" s="4">
        <v>73651.0</v>
      </c>
      <c r="G60" s="3" t="s">
        <v>296</v>
      </c>
      <c r="H60" s="3" t="s">
        <v>297</v>
      </c>
      <c r="I60" s="4">
        <v>9.336875278E9</v>
      </c>
      <c r="J60" s="5">
        <v>45473.56689814815</v>
      </c>
      <c r="K60" s="3" t="s">
        <v>201</v>
      </c>
      <c r="L60" s="3" t="s">
        <v>253</v>
      </c>
      <c r="M60" s="3" t="s">
        <v>54</v>
      </c>
      <c r="N60" s="3" t="s">
        <v>50</v>
      </c>
      <c r="O60" s="3" t="s">
        <v>101</v>
      </c>
      <c r="P60" s="6">
        <v>46239.0</v>
      </c>
      <c r="Q60" s="7" t="s">
        <v>299</v>
      </c>
      <c r="R60" s="4">
        <v>1779.0</v>
      </c>
      <c r="S60" s="3" t="s">
        <v>300</v>
      </c>
      <c r="T60" s="3" t="s">
        <v>54</v>
      </c>
      <c r="U60" s="3" t="s">
        <v>68</v>
      </c>
      <c r="V60" s="3" t="s">
        <v>69</v>
      </c>
      <c r="W60" s="3" t="s">
        <v>70</v>
      </c>
      <c r="X60" s="3" t="s">
        <v>58</v>
      </c>
      <c r="Y60" s="3" t="s">
        <v>59</v>
      </c>
      <c r="Z60" s="4">
        <v>8.0</v>
      </c>
      <c r="AA60" s="3" t="s">
        <v>60</v>
      </c>
      <c r="AB60" s="7">
        <v>112.0</v>
      </c>
      <c r="AC60" s="7">
        <v>0.0</v>
      </c>
      <c r="AD60" s="7">
        <v>112.0</v>
      </c>
      <c r="AE60" s="7">
        <v>76.0</v>
      </c>
      <c r="AF60" s="7">
        <v>0.0</v>
      </c>
      <c r="AG60" s="7">
        <v>76.0</v>
      </c>
      <c r="AH60" s="7">
        <v>7.0</v>
      </c>
      <c r="AI60" s="7">
        <v>0.0</v>
      </c>
      <c r="AJ60" s="7">
        <v>7.0</v>
      </c>
      <c r="AK60" s="7">
        <v>0.0</v>
      </c>
      <c r="AL60" s="7">
        <v>0.0</v>
      </c>
      <c r="AM60" s="7">
        <v>7.0</v>
      </c>
      <c r="AN60" s="8">
        <v>238.0</v>
      </c>
      <c r="AO60" s="4">
        <v>100.0</v>
      </c>
    </row>
    <row r="61">
      <c r="A61" s="3" t="s">
        <v>41</v>
      </c>
      <c r="B61" s="4">
        <v>40295.0</v>
      </c>
      <c r="C61" s="9">
        <v>46026.0</v>
      </c>
      <c r="D61" s="4" t="s">
        <v>43</v>
      </c>
      <c r="E61" s="3" t="s">
        <v>44</v>
      </c>
      <c r="F61" s="4">
        <v>73649.0</v>
      </c>
      <c r="G61" s="3" t="s">
        <v>301</v>
      </c>
      <c r="H61" s="3" t="s">
        <v>302</v>
      </c>
      <c r="I61" s="4">
        <v>7.007135412E9</v>
      </c>
      <c r="J61" s="5">
        <v>45473.5665625</v>
      </c>
      <c r="K61" s="3" t="s">
        <v>201</v>
      </c>
      <c r="L61" s="3" t="s">
        <v>202</v>
      </c>
      <c r="M61" s="3" t="s">
        <v>54</v>
      </c>
      <c r="N61" s="3" t="s">
        <v>50</v>
      </c>
      <c r="O61" s="3" t="s">
        <v>101</v>
      </c>
      <c r="P61" s="6">
        <v>46208.0</v>
      </c>
      <c r="Q61" s="7" t="s">
        <v>77</v>
      </c>
      <c r="R61" s="4">
        <v>1777.0</v>
      </c>
      <c r="S61" s="3" t="s">
        <v>113</v>
      </c>
      <c r="T61" s="3" t="s">
        <v>54</v>
      </c>
      <c r="U61" s="3" t="s">
        <v>79</v>
      </c>
      <c r="V61" s="3" t="s">
        <v>69</v>
      </c>
      <c r="W61" s="3" t="s">
        <v>70</v>
      </c>
      <c r="X61" s="3" t="s">
        <v>58</v>
      </c>
      <c r="Y61" s="3" t="s">
        <v>59</v>
      </c>
      <c r="Z61" s="4">
        <v>6.0</v>
      </c>
      <c r="AA61" s="3" t="s">
        <v>60</v>
      </c>
      <c r="AB61" s="7">
        <v>84.0</v>
      </c>
      <c r="AC61" s="7">
        <v>0.0</v>
      </c>
      <c r="AD61" s="7">
        <v>84.0</v>
      </c>
      <c r="AE61" s="7">
        <v>50.0</v>
      </c>
      <c r="AF61" s="7">
        <v>0.0</v>
      </c>
      <c r="AG61" s="7">
        <v>50.0</v>
      </c>
      <c r="AH61" s="7">
        <v>7.0</v>
      </c>
      <c r="AI61" s="7">
        <v>0.0</v>
      </c>
      <c r="AJ61" s="7">
        <v>7.0</v>
      </c>
      <c r="AK61" s="7">
        <v>0.0</v>
      </c>
      <c r="AL61" s="7">
        <v>0.0</v>
      </c>
      <c r="AM61" s="7">
        <v>7.0</v>
      </c>
      <c r="AN61" s="8">
        <v>30.0</v>
      </c>
      <c r="AO61" s="4">
        <v>85.71</v>
      </c>
    </row>
    <row r="62">
      <c r="A62" s="3" t="s">
        <v>41</v>
      </c>
      <c r="B62" s="4">
        <v>40214.0</v>
      </c>
      <c r="C62" s="9">
        <v>46026.0</v>
      </c>
      <c r="D62" s="4" t="s">
        <v>81</v>
      </c>
      <c r="E62" s="3" t="s">
        <v>44</v>
      </c>
      <c r="F62" s="4">
        <v>19021.0</v>
      </c>
      <c r="G62" s="3" t="s">
        <v>303</v>
      </c>
      <c r="H62" s="3" t="s">
        <v>304</v>
      </c>
      <c r="I62" s="4">
        <v>9.494228455E9</v>
      </c>
      <c r="J62" s="5">
        <v>42970.135671296295</v>
      </c>
      <c r="K62" s="3" t="s">
        <v>59</v>
      </c>
      <c r="L62" s="3" t="s">
        <v>99</v>
      </c>
      <c r="M62" s="3" t="s">
        <v>100</v>
      </c>
      <c r="N62" s="3" t="s">
        <v>50</v>
      </c>
      <c r="O62" s="3" t="s">
        <v>262</v>
      </c>
      <c r="P62" s="6">
        <v>46178.0</v>
      </c>
      <c r="Q62" s="7" t="s">
        <v>189</v>
      </c>
      <c r="R62" s="4">
        <v>1984.0</v>
      </c>
      <c r="S62" s="3" t="s">
        <v>86</v>
      </c>
      <c r="T62" s="3" t="s">
        <v>87</v>
      </c>
      <c r="U62" s="3" t="s">
        <v>88</v>
      </c>
      <c r="V62" s="3" t="s">
        <v>89</v>
      </c>
      <c r="W62" s="3" t="s">
        <v>57</v>
      </c>
      <c r="X62" s="3" t="s">
        <v>58</v>
      </c>
      <c r="Y62" s="3" t="s">
        <v>59</v>
      </c>
      <c r="Z62" s="4">
        <v>5.0</v>
      </c>
      <c r="AA62" s="3" t="s">
        <v>234</v>
      </c>
      <c r="AB62" s="7">
        <v>41.0</v>
      </c>
      <c r="AC62" s="7">
        <v>23.0</v>
      </c>
      <c r="AD62" s="7">
        <v>18.0</v>
      </c>
      <c r="AE62" s="7">
        <v>41.0</v>
      </c>
      <c r="AF62" s="7">
        <v>23.0</v>
      </c>
      <c r="AG62" s="7">
        <v>18.0</v>
      </c>
      <c r="AH62" s="7">
        <v>6.0</v>
      </c>
      <c r="AI62" s="7">
        <v>0.0</v>
      </c>
      <c r="AJ62" s="7">
        <v>4.0</v>
      </c>
      <c r="AK62" s="7">
        <v>1.0</v>
      </c>
      <c r="AL62" s="7">
        <v>1.0</v>
      </c>
      <c r="AM62" s="7">
        <v>5.0</v>
      </c>
      <c r="AN62" s="8">
        <v>28.0</v>
      </c>
      <c r="AO62" s="4">
        <v>93.33</v>
      </c>
    </row>
    <row r="63">
      <c r="A63" s="3" t="s">
        <v>41</v>
      </c>
      <c r="B63" s="4">
        <v>40231.0</v>
      </c>
      <c r="C63" s="9">
        <v>46299.0</v>
      </c>
      <c r="D63" s="4" t="s">
        <v>81</v>
      </c>
      <c r="E63" s="3" t="s">
        <v>44</v>
      </c>
      <c r="F63" s="4">
        <v>19021.0</v>
      </c>
      <c r="G63" s="3" t="s">
        <v>303</v>
      </c>
      <c r="H63" s="3" t="s">
        <v>304</v>
      </c>
      <c r="I63" s="4">
        <v>9.494228455E9</v>
      </c>
      <c r="J63" s="5">
        <v>42970.135671296295</v>
      </c>
      <c r="K63" s="3" t="s">
        <v>59</v>
      </c>
      <c r="L63" s="3" t="s">
        <v>99</v>
      </c>
      <c r="M63" s="3" t="s">
        <v>100</v>
      </c>
      <c r="N63" s="3" t="s">
        <v>50</v>
      </c>
      <c r="O63" s="3" t="s">
        <v>262</v>
      </c>
      <c r="P63" s="6">
        <v>46147.0</v>
      </c>
      <c r="Q63" s="7" t="s">
        <v>106</v>
      </c>
      <c r="R63" s="4">
        <v>1758.0</v>
      </c>
      <c r="S63" s="3" t="s">
        <v>190</v>
      </c>
      <c r="T63" s="3" t="s">
        <v>191</v>
      </c>
      <c r="U63" s="3" t="s">
        <v>192</v>
      </c>
      <c r="V63" s="3" t="s">
        <v>89</v>
      </c>
      <c r="W63" s="3" t="s">
        <v>57</v>
      </c>
      <c r="X63" s="3" t="s">
        <v>58</v>
      </c>
      <c r="Y63" s="3" t="s">
        <v>59</v>
      </c>
      <c r="Z63" s="4">
        <v>7.0</v>
      </c>
      <c r="AA63" s="3" t="s">
        <v>193</v>
      </c>
      <c r="AB63" s="7">
        <v>31.0</v>
      </c>
      <c r="AC63" s="7">
        <v>17.0</v>
      </c>
      <c r="AD63" s="7">
        <v>14.0</v>
      </c>
      <c r="AE63" s="7">
        <v>31.0</v>
      </c>
      <c r="AF63" s="7">
        <v>17.0</v>
      </c>
      <c r="AG63" s="7">
        <v>14.0</v>
      </c>
      <c r="AH63" s="7">
        <v>7.0</v>
      </c>
      <c r="AI63" s="7">
        <v>0.0</v>
      </c>
      <c r="AJ63" s="7">
        <v>2.0</v>
      </c>
      <c r="AK63" s="7">
        <v>0.0</v>
      </c>
      <c r="AL63" s="7">
        <v>5.0</v>
      </c>
      <c r="AM63" s="7">
        <v>2.0</v>
      </c>
      <c r="AN63" s="8">
        <v>20.0</v>
      </c>
      <c r="AO63" s="4">
        <v>100.0</v>
      </c>
    </row>
    <row r="64">
      <c r="A64" s="3" t="s">
        <v>41</v>
      </c>
      <c r="B64" s="4">
        <v>40287.0</v>
      </c>
      <c r="C64" s="9">
        <v>46026.0</v>
      </c>
      <c r="D64" s="4" t="s">
        <v>43</v>
      </c>
      <c r="E64" s="3" t="s">
        <v>44</v>
      </c>
      <c r="F64" s="4">
        <v>89801.0</v>
      </c>
      <c r="G64" s="3" t="s">
        <v>305</v>
      </c>
      <c r="H64" s="3" t="s">
        <v>306</v>
      </c>
      <c r="I64" s="4">
        <v>9.869386629E9</v>
      </c>
      <c r="J64" s="5">
        <v>46134.6541087963</v>
      </c>
      <c r="K64" s="3" t="s">
        <v>124</v>
      </c>
      <c r="L64" s="3" t="s">
        <v>307</v>
      </c>
      <c r="M64" s="3" t="s">
        <v>64</v>
      </c>
      <c r="N64" s="3" t="s">
        <v>50</v>
      </c>
      <c r="O64" s="3" t="s">
        <v>51</v>
      </c>
      <c r="P64" s="6">
        <v>46117.0</v>
      </c>
      <c r="Q64" s="7" t="s">
        <v>125</v>
      </c>
      <c r="R64" s="4">
        <v>1789.0</v>
      </c>
      <c r="S64" s="3" t="s">
        <v>142</v>
      </c>
      <c r="T64" s="3" t="s">
        <v>54</v>
      </c>
      <c r="U64" s="3" t="s">
        <v>79</v>
      </c>
      <c r="V64" s="3" t="s">
        <v>69</v>
      </c>
      <c r="W64" s="3" t="s">
        <v>70</v>
      </c>
      <c r="X64" s="3" t="s">
        <v>58</v>
      </c>
      <c r="Y64" s="3" t="s">
        <v>59</v>
      </c>
      <c r="Z64" s="4">
        <v>7.0</v>
      </c>
      <c r="AA64" s="3" t="s">
        <v>146</v>
      </c>
      <c r="AB64" s="7">
        <v>91.0</v>
      </c>
      <c r="AC64" s="7">
        <v>0.0</v>
      </c>
      <c r="AD64" s="7">
        <v>91.0</v>
      </c>
      <c r="AE64" s="7">
        <v>58.0</v>
      </c>
      <c r="AF64" s="7">
        <v>0.0</v>
      </c>
      <c r="AG64" s="7">
        <v>58.0</v>
      </c>
      <c r="AH64" s="7">
        <v>8.0</v>
      </c>
      <c r="AI64" s="7">
        <v>0.0</v>
      </c>
      <c r="AJ64" s="7">
        <v>8.0</v>
      </c>
      <c r="AK64" s="7">
        <v>0.0</v>
      </c>
      <c r="AL64" s="7">
        <v>0.0</v>
      </c>
      <c r="AM64" s="7">
        <v>8.0</v>
      </c>
      <c r="AN64" s="8">
        <v>44.0</v>
      </c>
      <c r="AO64" s="4">
        <v>78.57</v>
      </c>
    </row>
    <row r="65">
      <c r="A65" s="3" t="s">
        <v>41</v>
      </c>
      <c r="B65" s="4">
        <v>40320.0</v>
      </c>
      <c r="C65" s="9">
        <v>46026.0</v>
      </c>
      <c r="D65" s="4" t="s">
        <v>43</v>
      </c>
      <c r="E65" s="3" t="s">
        <v>44</v>
      </c>
      <c r="F65" s="4">
        <v>89809.0</v>
      </c>
      <c r="G65" s="3" t="s">
        <v>308</v>
      </c>
      <c r="H65" s="3" t="s">
        <v>309</v>
      </c>
      <c r="I65" s="4">
        <v>9.82482424E9</v>
      </c>
      <c r="J65" s="5">
        <v>46134.69372685185</v>
      </c>
      <c r="K65" s="3" t="s">
        <v>124</v>
      </c>
      <c r="L65" s="3" t="s">
        <v>94</v>
      </c>
      <c r="M65" s="3" t="s">
        <v>64</v>
      </c>
      <c r="N65" s="3" t="s">
        <v>50</v>
      </c>
      <c r="O65" s="3" t="s">
        <v>51</v>
      </c>
      <c r="P65" s="6">
        <v>46117.0</v>
      </c>
      <c r="Q65" s="7" t="s">
        <v>125</v>
      </c>
      <c r="R65" s="4">
        <v>1783.0</v>
      </c>
      <c r="S65" s="3" t="s">
        <v>310</v>
      </c>
      <c r="T65" s="3" t="s">
        <v>54</v>
      </c>
      <c r="U65" s="3" t="s">
        <v>68</v>
      </c>
      <c r="V65" s="3" t="s">
        <v>69</v>
      </c>
      <c r="W65" s="3" t="s">
        <v>70</v>
      </c>
      <c r="X65" s="3" t="s">
        <v>58</v>
      </c>
      <c r="Y65" s="3" t="s">
        <v>59</v>
      </c>
      <c r="Z65" s="4">
        <v>6.0</v>
      </c>
      <c r="AA65" s="3" t="s">
        <v>80</v>
      </c>
      <c r="AB65" s="7">
        <v>129.0</v>
      </c>
      <c r="AC65" s="7">
        <v>0.0</v>
      </c>
      <c r="AD65" s="7">
        <v>129.0</v>
      </c>
      <c r="AE65" s="7">
        <v>93.0</v>
      </c>
      <c r="AF65" s="7">
        <v>0.0</v>
      </c>
      <c r="AG65" s="7">
        <v>93.0</v>
      </c>
      <c r="AH65" s="7">
        <v>8.0</v>
      </c>
      <c r="AI65" s="7">
        <v>0.0</v>
      </c>
      <c r="AJ65" s="7">
        <v>8.0</v>
      </c>
      <c r="AK65" s="7">
        <v>0.0</v>
      </c>
      <c r="AL65" s="7">
        <v>0.0</v>
      </c>
      <c r="AM65" s="7">
        <v>8.0</v>
      </c>
      <c r="AN65" s="8">
        <v>200.0</v>
      </c>
      <c r="AO65" s="4">
        <v>100.0</v>
      </c>
    </row>
    <row r="66">
      <c r="A66" s="3" t="s">
        <v>41</v>
      </c>
      <c r="B66" s="4">
        <v>40422.0</v>
      </c>
      <c r="C66" s="4" t="s">
        <v>127</v>
      </c>
      <c r="D66" s="4" t="s">
        <v>128</v>
      </c>
      <c r="E66" s="3" t="s">
        <v>44</v>
      </c>
      <c r="F66" s="4">
        <v>76584.0</v>
      </c>
      <c r="G66" s="3" t="s">
        <v>311</v>
      </c>
      <c r="H66" s="3" t="s">
        <v>312</v>
      </c>
      <c r="I66" s="4">
        <v>9.405717841E9</v>
      </c>
      <c r="J66" s="5">
        <v>45549.83494212963</v>
      </c>
      <c r="K66" s="3" t="s">
        <v>47</v>
      </c>
      <c r="L66" s="3" t="s">
        <v>84</v>
      </c>
      <c r="M66" s="3" t="s">
        <v>64</v>
      </c>
      <c r="N66" s="3" t="s">
        <v>50</v>
      </c>
      <c r="O66" s="3" t="s">
        <v>249</v>
      </c>
      <c r="P66" s="6">
        <v>46147.0</v>
      </c>
      <c r="Q66" s="7" t="s">
        <v>118</v>
      </c>
      <c r="R66" s="4">
        <v>120.0</v>
      </c>
      <c r="S66" s="3" t="s">
        <v>163</v>
      </c>
      <c r="T66" s="3" t="s">
        <v>135</v>
      </c>
      <c r="U66" s="3" t="s">
        <v>164</v>
      </c>
      <c r="V66" s="3" t="s">
        <v>56</v>
      </c>
      <c r="W66" s="3" t="s">
        <v>57</v>
      </c>
      <c r="X66" s="3" t="s">
        <v>58</v>
      </c>
      <c r="Y66" s="3" t="s">
        <v>59</v>
      </c>
      <c r="Z66" s="4">
        <v>8.0</v>
      </c>
      <c r="AA66" s="3" t="s">
        <v>60</v>
      </c>
      <c r="AB66" s="7">
        <v>71.0</v>
      </c>
      <c r="AC66" s="7">
        <v>0.0</v>
      </c>
      <c r="AD66" s="7">
        <v>71.0</v>
      </c>
      <c r="AE66" s="7">
        <v>70.0</v>
      </c>
      <c r="AF66" s="7">
        <v>0.0</v>
      </c>
      <c r="AG66" s="7">
        <v>70.0</v>
      </c>
      <c r="AH66" s="7">
        <v>5.0</v>
      </c>
      <c r="AI66" s="7">
        <v>0.0</v>
      </c>
      <c r="AJ66" s="7">
        <v>3.0</v>
      </c>
      <c r="AK66" s="7">
        <v>2.0</v>
      </c>
      <c r="AL66" s="7">
        <v>0.0</v>
      </c>
      <c r="AM66" s="7">
        <v>5.0</v>
      </c>
      <c r="AN66" s="8">
        <v>175.0</v>
      </c>
      <c r="AO66" s="4">
        <v>100.0</v>
      </c>
    </row>
    <row r="67">
      <c r="A67" s="3" t="s">
        <v>41</v>
      </c>
      <c r="B67" s="4">
        <v>40424.0</v>
      </c>
      <c r="C67" s="4" t="s">
        <v>127</v>
      </c>
      <c r="D67" s="4" t="s">
        <v>128</v>
      </c>
      <c r="E67" s="3" t="s">
        <v>44</v>
      </c>
      <c r="F67" s="4">
        <v>76584.0</v>
      </c>
      <c r="G67" s="3" t="s">
        <v>311</v>
      </c>
      <c r="H67" s="3" t="s">
        <v>312</v>
      </c>
      <c r="I67" s="4">
        <v>9.405717841E9</v>
      </c>
      <c r="J67" s="5">
        <v>45549.83494212963</v>
      </c>
      <c r="K67" s="3" t="s">
        <v>47</v>
      </c>
      <c r="L67" s="3" t="s">
        <v>84</v>
      </c>
      <c r="M67" s="3" t="s">
        <v>64</v>
      </c>
      <c r="N67" s="3" t="s">
        <v>50</v>
      </c>
      <c r="O67" s="3" t="s">
        <v>249</v>
      </c>
      <c r="P67" s="6">
        <v>46147.0</v>
      </c>
      <c r="Q67" s="7" t="s">
        <v>118</v>
      </c>
      <c r="R67" s="4">
        <v>121.0</v>
      </c>
      <c r="S67" s="3" t="s">
        <v>165</v>
      </c>
      <c r="T67" s="3" t="s">
        <v>135</v>
      </c>
      <c r="U67" s="3" t="s">
        <v>164</v>
      </c>
      <c r="V67" s="3" t="s">
        <v>56</v>
      </c>
      <c r="W67" s="3" t="s">
        <v>57</v>
      </c>
      <c r="X67" s="3" t="s">
        <v>58</v>
      </c>
      <c r="Y67" s="3" t="s">
        <v>59</v>
      </c>
      <c r="Z67" s="4">
        <v>8.0</v>
      </c>
      <c r="AA67" s="3" t="s">
        <v>60</v>
      </c>
      <c r="AB67" s="7">
        <v>71.0</v>
      </c>
      <c r="AC67" s="7">
        <v>0.0</v>
      </c>
      <c r="AD67" s="7">
        <v>71.0</v>
      </c>
      <c r="AE67" s="7">
        <v>71.0</v>
      </c>
      <c r="AF67" s="7">
        <v>0.0</v>
      </c>
      <c r="AG67" s="7">
        <v>71.0</v>
      </c>
      <c r="AH67" s="7">
        <v>5.0</v>
      </c>
      <c r="AI67" s="7">
        <v>0.0</v>
      </c>
      <c r="AJ67" s="7">
        <v>3.0</v>
      </c>
      <c r="AK67" s="7">
        <v>2.0</v>
      </c>
      <c r="AL67" s="7">
        <v>0.0</v>
      </c>
      <c r="AM67" s="7">
        <v>5.0</v>
      </c>
      <c r="AN67" s="8">
        <v>155.0</v>
      </c>
      <c r="AO67" s="4">
        <v>100.0</v>
      </c>
    </row>
    <row r="68">
      <c r="A68" s="3" t="s">
        <v>41</v>
      </c>
      <c r="B68" s="4">
        <v>40216.0</v>
      </c>
      <c r="C68" s="9">
        <v>46026.0</v>
      </c>
      <c r="D68" s="4" t="s">
        <v>81</v>
      </c>
      <c r="E68" s="3" t="s">
        <v>44</v>
      </c>
      <c r="F68" s="4">
        <v>76163.0</v>
      </c>
      <c r="G68" s="3" t="s">
        <v>313</v>
      </c>
      <c r="H68" s="3" t="s">
        <v>314</v>
      </c>
      <c r="I68" s="4">
        <v>9.171700751E9</v>
      </c>
      <c r="J68" s="5">
        <v>45531.837743055556</v>
      </c>
      <c r="K68" s="3" t="s">
        <v>47</v>
      </c>
      <c r="L68" s="3" t="s">
        <v>315</v>
      </c>
      <c r="M68" s="3" t="s">
        <v>157</v>
      </c>
      <c r="N68" s="3" t="s">
        <v>50</v>
      </c>
      <c r="O68" s="3" t="s">
        <v>65</v>
      </c>
      <c r="P68" s="7" t="s">
        <v>316</v>
      </c>
      <c r="Q68" s="7" t="s">
        <v>66</v>
      </c>
      <c r="R68" s="4">
        <v>1984.0</v>
      </c>
      <c r="S68" s="3" t="s">
        <v>86</v>
      </c>
      <c r="T68" s="3" t="s">
        <v>87</v>
      </c>
      <c r="U68" s="3" t="s">
        <v>88</v>
      </c>
      <c r="V68" s="3" t="s">
        <v>89</v>
      </c>
      <c r="W68" s="3" t="s">
        <v>57</v>
      </c>
      <c r="X68" s="3" t="s">
        <v>58</v>
      </c>
      <c r="Y68" s="3" t="s">
        <v>59</v>
      </c>
      <c r="Z68" s="4">
        <v>6.0</v>
      </c>
      <c r="AA68" s="3" t="s">
        <v>234</v>
      </c>
      <c r="AB68" s="7">
        <v>41.0</v>
      </c>
      <c r="AC68" s="7">
        <v>23.0</v>
      </c>
      <c r="AD68" s="7">
        <v>18.0</v>
      </c>
      <c r="AE68" s="7">
        <v>41.0</v>
      </c>
      <c r="AF68" s="7">
        <v>23.0</v>
      </c>
      <c r="AG68" s="7">
        <v>18.0</v>
      </c>
      <c r="AH68" s="7">
        <v>4.0</v>
      </c>
      <c r="AI68" s="7">
        <v>0.0</v>
      </c>
      <c r="AJ68" s="7">
        <v>4.0</v>
      </c>
      <c r="AK68" s="7">
        <v>0.0</v>
      </c>
      <c r="AL68" s="7">
        <v>0.0</v>
      </c>
      <c r="AM68" s="7">
        <v>4.0</v>
      </c>
      <c r="AN68" s="8">
        <v>46.0</v>
      </c>
      <c r="AO68" s="4">
        <v>88.46</v>
      </c>
    </row>
    <row r="69">
      <c r="A69" s="3" t="s">
        <v>41</v>
      </c>
      <c r="B69" s="4">
        <v>40370.0</v>
      </c>
      <c r="C69" s="4" t="s">
        <v>42</v>
      </c>
      <c r="D69" s="4" t="s">
        <v>43</v>
      </c>
      <c r="E69" s="3" t="s">
        <v>44</v>
      </c>
      <c r="F69" s="4">
        <v>79257.0</v>
      </c>
      <c r="G69" s="3" t="s">
        <v>317</v>
      </c>
      <c r="H69" s="3" t="s">
        <v>318</v>
      </c>
      <c r="I69" s="11">
        <v>9.72E8</v>
      </c>
      <c r="J69" s="5">
        <v>45647.7368287037</v>
      </c>
      <c r="K69" s="3" t="s">
        <v>319</v>
      </c>
      <c r="L69" s="3" t="s">
        <v>272</v>
      </c>
      <c r="M69" s="3" t="s">
        <v>272</v>
      </c>
      <c r="N69" s="3" t="s">
        <v>273</v>
      </c>
      <c r="O69" s="3" t="s">
        <v>141</v>
      </c>
      <c r="P69" s="6">
        <v>46147.0</v>
      </c>
      <c r="Q69" s="7" t="s">
        <v>52</v>
      </c>
      <c r="R69" s="4">
        <v>1951.0</v>
      </c>
      <c r="S69" s="3" t="s">
        <v>320</v>
      </c>
      <c r="T69" s="3" t="s">
        <v>54</v>
      </c>
      <c r="U69" s="3" t="s">
        <v>55</v>
      </c>
      <c r="V69" s="3" t="s">
        <v>56</v>
      </c>
      <c r="W69" s="3" t="s">
        <v>57</v>
      </c>
      <c r="X69" s="3" t="s">
        <v>58</v>
      </c>
      <c r="Y69" s="3" t="s">
        <v>59</v>
      </c>
      <c r="Z69" s="4">
        <v>7.0</v>
      </c>
      <c r="AA69" s="3" t="s">
        <v>60</v>
      </c>
      <c r="AB69" s="7">
        <v>45.0</v>
      </c>
      <c r="AC69" s="7">
        <v>0.0</v>
      </c>
      <c r="AD69" s="7">
        <v>45.0</v>
      </c>
      <c r="AE69" s="7">
        <v>41.0</v>
      </c>
      <c r="AF69" s="7">
        <v>0.0</v>
      </c>
      <c r="AG69" s="7">
        <v>41.0</v>
      </c>
      <c r="AH69" s="7">
        <v>6.0</v>
      </c>
      <c r="AI69" s="7">
        <v>0.0</v>
      </c>
      <c r="AJ69" s="7">
        <v>6.0</v>
      </c>
      <c r="AK69" s="7">
        <v>0.0</v>
      </c>
      <c r="AL69" s="7">
        <v>0.0</v>
      </c>
      <c r="AM69" s="7">
        <v>6.0</v>
      </c>
      <c r="AN69" s="8">
        <v>96.0</v>
      </c>
      <c r="AO69" s="4">
        <v>80.0</v>
      </c>
    </row>
    <row r="70">
      <c r="A70" s="3" t="s">
        <v>41</v>
      </c>
      <c r="B70" s="4">
        <v>40371.0</v>
      </c>
      <c r="C70" s="4" t="s">
        <v>42</v>
      </c>
      <c r="D70" s="4" t="s">
        <v>43</v>
      </c>
      <c r="E70" s="3" t="s">
        <v>44</v>
      </c>
      <c r="F70" s="4">
        <v>79257.0</v>
      </c>
      <c r="G70" s="3" t="s">
        <v>317</v>
      </c>
      <c r="H70" s="3" t="s">
        <v>318</v>
      </c>
      <c r="I70" s="11">
        <v>9.72E8</v>
      </c>
      <c r="J70" s="5">
        <v>45647.7368287037</v>
      </c>
      <c r="K70" s="3" t="s">
        <v>319</v>
      </c>
      <c r="L70" s="3" t="s">
        <v>272</v>
      </c>
      <c r="M70" s="3" t="s">
        <v>272</v>
      </c>
      <c r="N70" s="3" t="s">
        <v>273</v>
      </c>
      <c r="O70" s="3" t="s">
        <v>141</v>
      </c>
      <c r="P70" s="6">
        <v>46117.0</v>
      </c>
      <c r="Q70" s="7" t="s">
        <v>95</v>
      </c>
      <c r="R70" s="4">
        <v>1951.0</v>
      </c>
      <c r="S70" s="3" t="s">
        <v>320</v>
      </c>
      <c r="T70" s="3" t="s">
        <v>54</v>
      </c>
      <c r="U70" s="3" t="s">
        <v>55</v>
      </c>
      <c r="V70" s="3" t="s">
        <v>56</v>
      </c>
      <c r="W70" s="3" t="s">
        <v>57</v>
      </c>
      <c r="X70" s="3" t="s">
        <v>58</v>
      </c>
      <c r="Y70" s="3" t="s">
        <v>59</v>
      </c>
      <c r="Z70" s="4">
        <v>8.0</v>
      </c>
      <c r="AA70" s="3" t="s">
        <v>60</v>
      </c>
      <c r="AB70" s="7">
        <v>45.0</v>
      </c>
      <c r="AC70" s="7">
        <v>0.0</v>
      </c>
      <c r="AD70" s="7">
        <v>45.0</v>
      </c>
      <c r="AE70" s="7">
        <v>41.0</v>
      </c>
      <c r="AF70" s="7">
        <v>0.0</v>
      </c>
      <c r="AG70" s="7">
        <v>41.0</v>
      </c>
      <c r="AH70" s="7">
        <v>6.0</v>
      </c>
      <c r="AI70" s="7">
        <v>0.0</v>
      </c>
      <c r="AJ70" s="7">
        <v>6.0</v>
      </c>
      <c r="AK70" s="7">
        <v>0.0</v>
      </c>
      <c r="AL70" s="7">
        <v>0.0</v>
      </c>
      <c r="AM70" s="7">
        <v>6.0</v>
      </c>
      <c r="AN70" s="8">
        <v>103.0</v>
      </c>
      <c r="AO70" s="4">
        <v>81.75</v>
      </c>
    </row>
    <row r="71">
      <c r="A71" s="3" t="s">
        <v>41</v>
      </c>
      <c r="B71" s="4">
        <v>40361.0</v>
      </c>
      <c r="C71" s="9">
        <v>46330.0</v>
      </c>
      <c r="D71" s="4" t="s">
        <v>43</v>
      </c>
      <c r="E71" s="3" t="s">
        <v>44</v>
      </c>
      <c r="F71" s="4">
        <v>76188.0</v>
      </c>
      <c r="G71" s="3" t="s">
        <v>321</v>
      </c>
      <c r="H71" s="3" t="s">
        <v>322</v>
      </c>
      <c r="I71" s="4">
        <v>8.018840181E9</v>
      </c>
      <c r="J71" s="5">
        <v>45532.64813657408</v>
      </c>
      <c r="K71" s="3" t="s">
        <v>47</v>
      </c>
      <c r="L71" s="3" t="s">
        <v>323</v>
      </c>
      <c r="M71" s="3" t="s">
        <v>132</v>
      </c>
      <c r="N71" s="3" t="s">
        <v>50</v>
      </c>
      <c r="O71" s="3" t="s">
        <v>249</v>
      </c>
      <c r="P71" s="6">
        <v>46117.0</v>
      </c>
      <c r="Q71" s="7" t="s">
        <v>95</v>
      </c>
      <c r="R71" s="4">
        <v>1949.0</v>
      </c>
      <c r="S71" s="3" t="s">
        <v>324</v>
      </c>
      <c r="T71" s="3" t="s">
        <v>54</v>
      </c>
      <c r="U71" s="3" t="s">
        <v>55</v>
      </c>
      <c r="V71" s="3" t="s">
        <v>56</v>
      </c>
      <c r="W71" s="3" t="s">
        <v>57</v>
      </c>
      <c r="X71" s="3" t="s">
        <v>58</v>
      </c>
      <c r="Y71" s="3" t="s">
        <v>59</v>
      </c>
      <c r="Z71" s="4">
        <v>7.0</v>
      </c>
      <c r="AA71" s="3" t="s">
        <v>60</v>
      </c>
      <c r="AB71" s="7">
        <v>59.0</v>
      </c>
      <c r="AC71" s="7">
        <v>0.0</v>
      </c>
      <c r="AD71" s="7">
        <v>59.0</v>
      </c>
      <c r="AE71" s="7">
        <v>52.0</v>
      </c>
      <c r="AF71" s="7">
        <v>0.0</v>
      </c>
      <c r="AG71" s="7">
        <v>52.0</v>
      </c>
      <c r="AH71" s="7">
        <v>6.0</v>
      </c>
      <c r="AI71" s="7">
        <v>0.0</v>
      </c>
      <c r="AJ71" s="7">
        <v>3.0</v>
      </c>
      <c r="AK71" s="7">
        <v>3.0</v>
      </c>
      <c r="AL71" s="7">
        <v>0.0</v>
      </c>
      <c r="AM71" s="7">
        <v>6.0</v>
      </c>
      <c r="AN71" s="8">
        <v>68.0</v>
      </c>
      <c r="AO71" s="4">
        <v>67.33</v>
      </c>
    </row>
    <row r="72">
      <c r="A72" s="3" t="s">
        <v>41</v>
      </c>
      <c r="B72" s="4">
        <v>40363.0</v>
      </c>
      <c r="C72" s="9">
        <v>46330.0</v>
      </c>
      <c r="D72" s="4" t="s">
        <v>43</v>
      </c>
      <c r="E72" s="3" t="s">
        <v>44</v>
      </c>
      <c r="F72" s="4">
        <v>76188.0</v>
      </c>
      <c r="G72" s="3" t="s">
        <v>321</v>
      </c>
      <c r="H72" s="3" t="s">
        <v>322</v>
      </c>
      <c r="I72" s="4">
        <v>8.018840181E9</v>
      </c>
      <c r="J72" s="5">
        <v>45532.64813657408</v>
      </c>
      <c r="K72" s="3" t="s">
        <v>47</v>
      </c>
      <c r="L72" s="3" t="s">
        <v>323</v>
      </c>
      <c r="M72" s="3" t="s">
        <v>132</v>
      </c>
      <c r="N72" s="3" t="s">
        <v>50</v>
      </c>
      <c r="O72" s="3" t="s">
        <v>249</v>
      </c>
      <c r="P72" s="6">
        <v>46147.0</v>
      </c>
      <c r="Q72" s="7" t="s">
        <v>52</v>
      </c>
      <c r="R72" s="4">
        <v>1949.0</v>
      </c>
      <c r="S72" s="3" t="s">
        <v>324</v>
      </c>
      <c r="T72" s="3" t="s">
        <v>54</v>
      </c>
      <c r="U72" s="3" t="s">
        <v>55</v>
      </c>
      <c r="V72" s="3" t="s">
        <v>56</v>
      </c>
      <c r="W72" s="3" t="s">
        <v>57</v>
      </c>
      <c r="X72" s="3" t="s">
        <v>58</v>
      </c>
      <c r="Y72" s="3" t="s">
        <v>59</v>
      </c>
      <c r="Z72" s="4">
        <v>8.0</v>
      </c>
      <c r="AA72" s="3" t="s">
        <v>60</v>
      </c>
      <c r="AB72" s="7">
        <v>59.0</v>
      </c>
      <c r="AC72" s="7">
        <v>0.0</v>
      </c>
      <c r="AD72" s="7">
        <v>59.0</v>
      </c>
      <c r="AE72" s="7">
        <v>52.0</v>
      </c>
      <c r="AF72" s="7">
        <v>0.0</v>
      </c>
      <c r="AG72" s="7">
        <v>52.0</v>
      </c>
      <c r="AH72" s="7">
        <v>6.0</v>
      </c>
      <c r="AI72" s="7">
        <v>0.0</v>
      </c>
      <c r="AJ72" s="7">
        <v>4.0</v>
      </c>
      <c r="AK72" s="7">
        <v>2.0</v>
      </c>
      <c r="AL72" s="7">
        <v>0.0</v>
      </c>
      <c r="AM72" s="7">
        <v>6.0</v>
      </c>
      <c r="AN72" s="8">
        <v>108.0</v>
      </c>
      <c r="AO72" s="4">
        <v>51.43</v>
      </c>
    </row>
    <row r="73">
      <c r="A73" s="3" t="s">
        <v>41</v>
      </c>
      <c r="B73" s="4">
        <v>40358.0</v>
      </c>
      <c r="C73" s="4" t="s">
        <v>42</v>
      </c>
      <c r="D73" s="4" t="s">
        <v>43</v>
      </c>
      <c r="E73" s="3" t="s">
        <v>44</v>
      </c>
      <c r="F73" s="4">
        <v>76188.0</v>
      </c>
      <c r="G73" s="3" t="s">
        <v>321</v>
      </c>
      <c r="H73" s="3" t="s">
        <v>322</v>
      </c>
      <c r="I73" s="4">
        <v>8.018840181E9</v>
      </c>
      <c r="J73" s="5">
        <v>45532.64813657408</v>
      </c>
      <c r="K73" s="3" t="s">
        <v>47</v>
      </c>
      <c r="L73" s="3" t="s">
        <v>323</v>
      </c>
      <c r="M73" s="3" t="s">
        <v>132</v>
      </c>
      <c r="N73" s="3" t="s">
        <v>50</v>
      </c>
      <c r="O73" s="3" t="s">
        <v>249</v>
      </c>
      <c r="P73" s="6">
        <v>46147.0</v>
      </c>
      <c r="Q73" s="7" t="s">
        <v>52</v>
      </c>
      <c r="R73" s="4">
        <v>1952.0</v>
      </c>
      <c r="S73" s="3" t="s">
        <v>325</v>
      </c>
      <c r="T73" s="3" t="s">
        <v>54</v>
      </c>
      <c r="U73" s="3" t="s">
        <v>55</v>
      </c>
      <c r="V73" s="3" t="s">
        <v>56</v>
      </c>
      <c r="W73" s="3" t="s">
        <v>57</v>
      </c>
      <c r="X73" s="3" t="s">
        <v>58</v>
      </c>
      <c r="Y73" s="3" t="s">
        <v>59</v>
      </c>
      <c r="Z73" s="4">
        <v>8.0</v>
      </c>
      <c r="AA73" s="3" t="s">
        <v>60</v>
      </c>
      <c r="AB73" s="7">
        <v>57.0</v>
      </c>
      <c r="AC73" s="7">
        <v>0.0</v>
      </c>
      <c r="AD73" s="7">
        <v>57.0</v>
      </c>
      <c r="AE73" s="7">
        <v>55.0</v>
      </c>
      <c r="AF73" s="7">
        <v>0.0</v>
      </c>
      <c r="AG73" s="7">
        <v>55.0</v>
      </c>
      <c r="AH73" s="7">
        <v>6.0</v>
      </c>
      <c r="AI73" s="7">
        <v>0.0</v>
      </c>
      <c r="AJ73" s="7">
        <v>6.0</v>
      </c>
      <c r="AK73" s="7">
        <v>0.0</v>
      </c>
      <c r="AL73" s="7">
        <v>0.0</v>
      </c>
      <c r="AM73" s="7">
        <v>6.0</v>
      </c>
      <c r="AN73" s="8">
        <v>148.0</v>
      </c>
      <c r="AO73" s="4">
        <v>72.55</v>
      </c>
    </row>
    <row r="74">
      <c r="A74" s="3" t="s">
        <v>41</v>
      </c>
      <c r="B74" s="4">
        <v>40259.0</v>
      </c>
      <c r="C74" s="4" t="s">
        <v>42</v>
      </c>
      <c r="D74" s="4" t="s">
        <v>81</v>
      </c>
      <c r="E74" s="3" t="s">
        <v>44</v>
      </c>
      <c r="F74" s="4">
        <v>88460.0</v>
      </c>
      <c r="G74" s="3" t="s">
        <v>326</v>
      </c>
      <c r="H74" s="3" t="s">
        <v>327</v>
      </c>
      <c r="I74" s="4">
        <v>7.009803495E9</v>
      </c>
      <c r="J74" s="5">
        <v>46055.72472222222</v>
      </c>
      <c r="K74" s="3" t="s">
        <v>47</v>
      </c>
      <c r="L74" s="3" t="s">
        <v>328</v>
      </c>
      <c r="M74" s="3" t="s">
        <v>49</v>
      </c>
      <c r="N74" s="3" t="s">
        <v>50</v>
      </c>
      <c r="O74" s="3" t="s">
        <v>101</v>
      </c>
      <c r="P74" s="6">
        <v>46239.0</v>
      </c>
      <c r="Q74" s="7" t="s">
        <v>85</v>
      </c>
      <c r="R74" s="4">
        <v>1984.0</v>
      </c>
      <c r="S74" s="3" t="s">
        <v>86</v>
      </c>
      <c r="T74" s="3" t="s">
        <v>87</v>
      </c>
      <c r="U74" s="3" t="s">
        <v>88</v>
      </c>
      <c r="V74" s="3" t="s">
        <v>89</v>
      </c>
      <c r="W74" s="3" t="s">
        <v>57</v>
      </c>
      <c r="X74" s="3" t="s">
        <v>58</v>
      </c>
      <c r="Y74" s="3" t="s">
        <v>59</v>
      </c>
      <c r="Z74" s="4">
        <v>6.0</v>
      </c>
      <c r="AA74" s="3" t="s">
        <v>193</v>
      </c>
      <c r="AB74" s="7">
        <v>41.0</v>
      </c>
      <c r="AC74" s="7">
        <v>23.0</v>
      </c>
      <c r="AD74" s="7">
        <v>18.0</v>
      </c>
      <c r="AE74" s="7">
        <v>41.0</v>
      </c>
      <c r="AF74" s="7">
        <v>23.0</v>
      </c>
      <c r="AG74" s="7">
        <v>18.0</v>
      </c>
      <c r="AH74" s="7">
        <v>6.0</v>
      </c>
      <c r="AI74" s="7">
        <v>0.0</v>
      </c>
      <c r="AJ74" s="7">
        <v>5.0</v>
      </c>
      <c r="AK74" s="7">
        <v>0.0</v>
      </c>
      <c r="AL74" s="7">
        <v>1.0</v>
      </c>
      <c r="AM74" s="7">
        <v>5.0</v>
      </c>
      <c r="AN74" s="8">
        <v>54.0</v>
      </c>
      <c r="AO74" s="4">
        <v>83.08</v>
      </c>
    </row>
    <row r="75">
      <c r="A75" s="3" t="s">
        <v>41</v>
      </c>
      <c r="B75" s="4">
        <v>40381.0</v>
      </c>
      <c r="C75" s="4" t="s">
        <v>42</v>
      </c>
      <c r="D75" s="4" t="s">
        <v>43</v>
      </c>
      <c r="E75" s="3" t="s">
        <v>44</v>
      </c>
      <c r="F75" s="4">
        <v>78968.0</v>
      </c>
      <c r="G75" s="3" t="s">
        <v>329</v>
      </c>
      <c r="H75" s="3" t="s">
        <v>330</v>
      </c>
      <c r="I75" s="4">
        <v>9.810504335E9</v>
      </c>
      <c r="J75" s="5">
        <v>45635.69579861111</v>
      </c>
      <c r="K75" s="3" t="s">
        <v>47</v>
      </c>
      <c r="L75" s="3" t="s">
        <v>331</v>
      </c>
      <c r="M75" s="3" t="s">
        <v>117</v>
      </c>
      <c r="N75" s="3" t="s">
        <v>50</v>
      </c>
      <c r="O75" s="3" t="s">
        <v>133</v>
      </c>
      <c r="P75" s="6">
        <v>46178.0</v>
      </c>
      <c r="Q75" s="7" t="s">
        <v>52</v>
      </c>
      <c r="R75" s="4">
        <v>1944.0</v>
      </c>
      <c r="S75" s="3" t="s">
        <v>332</v>
      </c>
      <c r="T75" s="3" t="s">
        <v>54</v>
      </c>
      <c r="U75" s="3" t="s">
        <v>108</v>
      </c>
      <c r="V75" s="3" t="s">
        <v>56</v>
      </c>
      <c r="W75" s="3" t="s">
        <v>57</v>
      </c>
      <c r="X75" s="3" t="s">
        <v>58</v>
      </c>
      <c r="Y75" s="3" t="s">
        <v>59</v>
      </c>
      <c r="Z75" s="4">
        <v>8.0</v>
      </c>
      <c r="AA75" s="3" t="s">
        <v>60</v>
      </c>
      <c r="AB75" s="7">
        <v>49.0</v>
      </c>
      <c r="AC75" s="7">
        <v>0.0</v>
      </c>
      <c r="AD75" s="7">
        <v>49.0</v>
      </c>
      <c r="AE75" s="7">
        <v>48.0</v>
      </c>
      <c r="AF75" s="7">
        <v>0.0</v>
      </c>
      <c r="AG75" s="7">
        <v>48.0</v>
      </c>
      <c r="AH75" s="7">
        <v>6.0</v>
      </c>
      <c r="AI75" s="7">
        <v>0.0</v>
      </c>
      <c r="AJ75" s="7">
        <v>6.0</v>
      </c>
      <c r="AK75" s="7">
        <v>0.0</v>
      </c>
      <c r="AL75" s="7">
        <v>0.0</v>
      </c>
      <c r="AM75" s="7">
        <v>6.0</v>
      </c>
      <c r="AN75" s="8">
        <v>101.0</v>
      </c>
      <c r="AO75" s="4">
        <v>80.16</v>
      </c>
    </row>
    <row r="76">
      <c r="A76" s="3" t="s">
        <v>41</v>
      </c>
      <c r="B76" s="4">
        <v>40292.0</v>
      </c>
      <c r="C76" s="9">
        <v>46026.0</v>
      </c>
      <c r="D76" s="4" t="s">
        <v>43</v>
      </c>
      <c r="E76" s="3" t="s">
        <v>44</v>
      </c>
      <c r="F76" s="4">
        <v>88559.0</v>
      </c>
      <c r="G76" s="3" t="s">
        <v>333</v>
      </c>
      <c r="H76" s="3" t="s">
        <v>334</v>
      </c>
      <c r="I76" s="4">
        <v>9.860501259E9</v>
      </c>
      <c r="J76" s="5">
        <v>46062.55231481481</v>
      </c>
      <c r="K76" s="3" t="s">
        <v>47</v>
      </c>
      <c r="L76" s="3" t="s">
        <v>84</v>
      </c>
      <c r="M76" s="3" t="s">
        <v>64</v>
      </c>
      <c r="N76" s="3" t="s">
        <v>50</v>
      </c>
      <c r="O76" s="3" t="s">
        <v>274</v>
      </c>
      <c r="P76" s="6">
        <v>46117.0</v>
      </c>
      <c r="Q76" s="7" t="s">
        <v>125</v>
      </c>
      <c r="R76" s="4">
        <v>1777.0</v>
      </c>
      <c r="S76" s="3" t="s">
        <v>113</v>
      </c>
      <c r="T76" s="3" t="s">
        <v>54</v>
      </c>
      <c r="U76" s="3" t="s">
        <v>79</v>
      </c>
      <c r="V76" s="3" t="s">
        <v>69</v>
      </c>
      <c r="W76" s="3" t="s">
        <v>70</v>
      </c>
      <c r="X76" s="3" t="s">
        <v>58</v>
      </c>
      <c r="Y76" s="3" t="s">
        <v>59</v>
      </c>
      <c r="Z76" s="4">
        <v>6.0</v>
      </c>
      <c r="AA76" s="3" t="s">
        <v>80</v>
      </c>
      <c r="AB76" s="7">
        <v>84.0</v>
      </c>
      <c r="AC76" s="7">
        <v>0.0</v>
      </c>
      <c r="AD76" s="7">
        <v>84.0</v>
      </c>
      <c r="AE76" s="7">
        <v>50.0</v>
      </c>
      <c r="AF76" s="7">
        <v>0.0</v>
      </c>
      <c r="AG76" s="7">
        <v>50.0</v>
      </c>
      <c r="AH76" s="7">
        <v>8.0</v>
      </c>
      <c r="AI76" s="7">
        <v>0.0</v>
      </c>
      <c r="AJ76" s="7">
        <v>8.0</v>
      </c>
      <c r="AK76" s="7">
        <v>0.0</v>
      </c>
      <c r="AL76" s="7">
        <v>0.0</v>
      </c>
      <c r="AM76" s="7">
        <v>8.0</v>
      </c>
      <c r="AN76" s="8">
        <v>39.0</v>
      </c>
      <c r="AO76" s="4">
        <v>97.5</v>
      </c>
    </row>
    <row r="77">
      <c r="A77" s="3" t="s">
        <v>41</v>
      </c>
      <c r="B77" s="4">
        <v>40321.0</v>
      </c>
      <c r="C77" s="9">
        <v>46026.0</v>
      </c>
      <c r="D77" s="4" t="s">
        <v>43</v>
      </c>
      <c r="E77" s="3" t="s">
        <v>44</v>
      </c>
      <c r="F77" s="4">
        <v>89728.0</v>
      </c>
      <c r="G77" s="3" t="s">
        <v>335</v>
      </c>
      <c r="H77" s="3" t="s">
        <v>336</v>
      </c>
      <c r="I77" s="4">
        <v>9.818607626E9</v>
      </c>
      <c r="J77" s="5">
        <v>46134.52851851852</v>
      </c>
      <c r="K77" s="3" t="s">
        <v>124</v>
      </c>
      <c r="L77" s="3" t="s">
        <v>84</v>
      </c>
      <c r="M77" s="3" t="s">
        <v>64</v>
      </c>
      <c r="N77" s="3" t="s">
        <v>50</v>
      </c>
      <c r="O77" s="3" t="s">
        <v>51</v>
      </c>
      <c r="P77" s="6">
        <v>46117.0</v>
      </c>
      <c r="Q77" s="7" t="s">
        <v>125</v>
      </c>
      <c r="R77" s="4">
        <v>1783.0</v>
      </c>
      <c r="S77" s="3" t="s">
        <v>310</v>
      </c>
      <c r="T77" s="3" t="s">
        <v>54</v>
      </c>
      <c r="U77" s="3" t="s">
        <v>68</v>
      </c>
      <c r="V77" s="3" t="s">
        <v>69</v>
      </c>
      <c r="W77" s="3" t="s">
        <v>70</v>
      </c>
      <c r="X77" s="3" t="s">
        <v>58</v>
      </c>
      <c r="Y77" s="3" t="s">
        <v>59</v>
      </c>
      <c r="Z77" s="4">
        <v>7.0</v>
      </c>
      <c r="AA77" s="3" t="s">
        <v>146</v>
      </c>
      <c r="AB77" s="7">
        <v>129.0</v>
      </c>
      <c r="AC77" s="7">
        <v>0.0</v>
      </c>
      <c r="AD77" s="7">
        <v>129.0</v>
      </c>
      <c r="AE77" s="7">
        <v>93.0</v>
      </c>
      <c r="AF77" s="7">
        <v>0.0</v>
      </c>
      <c r="AG77" s="7">
        <v>93.0</v>
      </c>
      <c r="AH77" s="7">
        <v>8.0</v>
      </c>
      <c r="AI77" s="7">
        <v>0.0</v>
      </c>
      <c r="AJ77" s="7">
        <v>8.0</v>
      </c>
      <c r="AK77" s="7">
        <v>0.0</v>
      </c>
      <c r="AL77" s="7">
        <v>0.0</v>
      </c>
      <c r="AM77" s="7">
        <v>8.0</v>
      </c>
      <c r="AN77" s="8">
        <v>256.0</v>
      </c>
      <c r="AO77" s="4">
        <v>100.0</v>
      </c>
    </row>
    <row r="78">
      <c r="A78" s="3" t="s">
        <v>41</v>
      </c>
      <c r="B78" s="4">
        <v>40273.0</v>
      </c>
      <c r="C78" s="9">
        <v>46026.0</v>
      </c>
      <c r="D78" s="4" t="s">
        <v>43</v>
      </c>
      <c r="E78" s="3" t="s">
        <v>244</v>
      </c>
      <c r="F78" s="4">
        <v>89753.0</v>
      </c>
      <c r="G78" s="3" t="s">
        <v>337</v>
      </c>
      <c r="H78" s="3" t="s">
        <v>338</v>
      </c>
      <c r="I78" s="4">
        <v>9.651645332E9</v>
      </c>
      <c r="J78" s="5">
        <v>46134.53326388889</v>
      </c>
      <c r="K78" s="3" t="s">
        <v>124</v>
      </c>
      <c r="L78" s="3" t="s">
        <v>161</v>
      </c>
      <c r="M78" s="3" t="s">
        <v>162</v>
      </c>
      <c r="N78" s="3" t="s">
        <v>50</v>
      </c>
      <c r="O78" s="3" t="s">
        <v>51</v>
      </c>
      <c r="P78" s="6">
        <v>46239.0</v>
      </c>
      <c r="Q78" s="7" t="s">
        <v>66</v>
      </c>
      <c r="R78" s="4">
        <v>1780.0</v>
      </c>
      <c r="S78" s="3" t="s">
        <v>222</v>
      </c>
      <c r="T78" s="3" t="s">
        <v>54</v>
      </c>
      <c r="U78" s="3" t="s">
        <v>68</v>
      </c>
      <c r="V78" s="3" t="s">
        <v>69</v>
      </c>
      <c r="W78" s="3" t="s">
        <v>70</v>
      </c>
      <c r="X78" s="3" t="s">
        <v>58</v>
      </c>
      <c r="Y78" s="3" t="s">
        <v>59</v>
      </c>
      <c r="Z78" s="4">
        <v>8.0</v>
      </c>
      <c r="AA78" s="3" t="s">
        <v>60</v>
      </c>
      <c r="AB78" s="7">
        <v>110.0</v>
      </c>
      <c r="AC78" s="7">
        <v>0.0</v>
      </c>
      <c r="AD78" s="7">
        <v>110.0</v>
      </c>
      <c r="AE78" s="7">
        <v>65.0</v>
      </c>
      <c r="AF78" s="7">
        <v>0.0</v>
      </c>
      <c r="AG78" s="7">
        <v>65.0</v>
      </c>
      <c r="AH78" s="7">
        <v>6.0</v>
      </c>
      <c r="AI78" s="7">
        <v>0.0</v>
      </c>
      <c r="AJ78" s="7">
        <v>6.0</v>
      </c>
      <c r="AK78" s="7">
        <v>0.0</v>
      </c>
      <c r="AL78" s="7">
        <v>0.0</v>
      </c>
      <c r="AM78" s="7">
        <v>6.0</v>
      </c>
      <c r="AN78" s="8">
        <v>192.0</v>
      </c>
      <c r="AO78" s="4">
        <v>94.12</v>
      </c>
    </row>
    <row r="79">
      <c r="A79" s="3" t="s">
        <v>41</v>
      </c>
      <c r="B79" s="4">
        <v>40253.0</v>
      </c>
      <c r="C79" s="9">
        <v>46026.0</v>
      </c>
      <c r="D79" s="4" t="s">
        <v>43</v>
      </c>
      <c r="E79" s="3" t="s">
        <v>44</v>
      </c>
      <c r="F79" s="4">
        <v>87290.0</v>
      </c>
      <c r="G79" s="3" t="s">
        <v>339</v>
      </c>
      <c r="H79" s="3" t="s">
        <v>340</v>
      </c>
      <c r="I79" s="4">
        <v>9.057867544E9</v>
      </c>
      <c r="J79" s="5">
        <v>45996.55416666667</v>
      </c>
      <c r="K79" s="3" t="s">
        <v>47</v>
      </c>
      <c r="L79" s="3" t="s">
        <v>341</v>
      </c>
      <c r="M79" s="3" t="s">
        <v>64</v>
      </c>
      <c r="N79" s="3" t="s">
        <v>50</v>
      </c>
      <c r="O79" s="3" t="s">
        <v>101</v>
      </c>
      <c r="P79" s="6">
        <v>46117.0</v>
      </c>
      <c r="Q79" s="7" t="s">
        <v>125</v>
      </c>
      <c r="R79" s="4">
        <v>1784.0</v>
      </c>
      <c r="S79" s="3" t="s">
        <v>342</v>
      </c>
      <c r="T79" s="3" t="s">
        <v>54</v>
      </c>
      <c r="U79" s="3" t="s">
        <v>79</v>
      </c>
      <c r="V79" s="3" t="s">
        <v>69</v>
      </c>
      <c r="W79" s="3" t="s">
        <v>70</v>
      </c>
      <c r="X79" s="3" t="s">
        <v>58</v>
      </c>
      <c r="Y79" s="3" t="s">
        <v>59</v>
      </c>
      <c r="Z79" s="4">
        <v>7.0</v>
      </c>
      <c r="AA79" s="3" t="s">
        <v>146</v>
      </c>
      <c r="AB79" s="7">
        <v>248.0</v>
      </c>
      <c r="AC79" s="7">
        <v>0.0</v>
      </c>
      <c r="AD79" s="7">
        <v>248.0</v>
      </c>
      <c r="AE79" s="7">
        <v>138.0</v>
      </c>
      <c r="AF79" s="7">
        <v>0.0</v>
      </c>
      <c r="AG79" s="7">
        <v>138.0</v>
      </c>
      <c r="AH79" s="7">
        <v>8.0</v>
      </c>
      <c r="AI79" s="7">
        <v>0.0</v>
      </c>
      <c r="AJ79" s="7">
        <v>8.0</v>
      </c>
      <c r="AK79" s="7">
        <v>0.0</v>
      </c>
      <c r="AL79" s="7">
        <v>0.0</v>
      </c>
      <c r="AM79" s="7">
        <v>8.0</v>
      </c>
      <c r="AN79" s="8">
        <v>119.0</v>
      </c>
      <c r="AO79" s="4">
        <v>100.0</v>
      </c>
    </row>
    <row r="80">
      <c r="A80" s="3" t="s">
        <v>41</v>
      </c>
      <c r="B80" s="4">
        <v>40351.0</v>
      </c>
      <c r="C80" s="9">
        <v>46026.0</v>
      </c>
      <c r="D80" s="4" t="s">
        <v>43</v>
      </c>
      <c r="E80" s="3" t="s">
        <v>44</v>
      </c>
      <c r="F80" s="4">
        <v>40430.0</v>
      </c>
      <c r="G80" s="3" t="s">
        <v>343</v>
      </c>
      <c r="H80" s="3" t="s">
        <v>344</v>
      </c>
      <c r="I80" s="4">
        <v>8.147570005E9</v>
      </c>
      <c r="J80" s="5">
        <v>44056.038611111115</v>
      </c>
      <c r="K80" s="3" t="s">
        <v>345</v>
      </c>
      <c r="L80" s="3" t="s">
        <v>161</v>
      </c>
      <c r="M80" s="3" t="s">
        <v>162</v>
      </c>
      <c r="N80" s="3" t="s">
        <v>50</v>
      </c>
      <c r="O80" s="3" t="s">
        <v>262</v>
      </c>
      <c r="P80" s="6">
        <v>46208.0</v>
      </c>
      <c r="Q80" s="7" t="s">
        <v>43</v>
      </c>
      <c r="R80" s="4">
        <v>1779.0</v>
      </c>
      <c r="S80" s="3" t="s">
        <v>300</v>
      </c>
      <c r="T80" s="3" t="s">
        <v>54</v>
      </c>
      <c r="U80" s="3" t="s">
        <v>68</v>
      </c>
      <c r="V80" s="3" t="s">
        <v>69</v>
      </c>
      <c r="W80" s="3" t="s">
        <v>70</v>
      </c>
      <c r="X80" s="3" t="s">
        <v>58</v>
      </c>
      <c r="Y80" s="3" t="s">
        <v>59</v>
      </c>
      <c r="Z80" s="4">
        <v>7.0</v>
      </c>
      <c r="AA80" s="3" t="s">
        <v>146</v>
      </c>
      <c r="AB80" s="7">
        <v>112.0</v>
      </c>
      <c r="AC80" s="7">
        <v>0.0</v>
      </c>
      <c r="AD80" s="7">
        <v>112.0</v>
      </c>
      <c r="AE80" s="7">
        <v>76.0</v>
      </c>
      <c r="AF80" s="7">
        <v>0.0</v>
      </c>
      <c r="AG80" s="7">
        <v>76.0</v>
      </c>
      <c r="AH80" s="7">
        <v>8.0</v>
      </c>
      <c r="AI80" s="7">
        <v>0.0</v>
      </c>
      <c r="AJ80" s="7">
        <v>8.0</v>
      </c>
      <c r="AK80" s="7">
        <v>0.0</v>
      </c>
      <c r="AL80" s="7">
        <v>0.0</v>
      </c>
      <c r="AM80" s="7">
        <v>8.0</v>
      </c>
      <c r="AN80" s="8">
        <v>96.0</v>
      </c>
      <c r="AO80" s="4">
        <v>100.0</v>
      </c>
    </row>
    <row r="81">
      <c r="A81" s="3" t="s">
        <v>41</v>
      </c>
      <c r="B81" s="4">
        <v>40281.0</v>
      </c>
      <c r="C81" s="9">
        <v>46026.0</v>
      </c>
      <c r="D81" s="4" t="s">
        <v>43</v>
      </c>
      <c r="E81" s="3" t="s">
        <v>44</v>
      </c>
      <c r="F81" s="4">
        <v>72424.0</v>
      </c>
      <c r="G81" s="3" t="s">
        <v>346</v>
      </c>
      <c r="H81" s="3" t="s">
        <v>347</v>
      </c>
      <c r="I81" s="4">
        <v>9.442202182E9</v>
      </c>
      <c r="J81" s="5">
        <v>45416.72546296296</v>
      </c>
      <c r="K81" s="3" t="s">
        <v>47</v>
      </c>
      <c r="L81" s="3" t="s">
        <v>348</v>
      </c>
      <c r="M81" s="3" t="s">
        <v>349</v>
      </c>
      <c r="N81" s="3" t="s">
        <v>50</v>
      </c>
      <c r="O81" s="3" t="s">
        <v>274</v>
      </c>
      <c r="P81" s="6">
        <v>46117.0</v>
      </c>
      <c r="Q81" s="7" t="s">
        <v>125</v>
      </c>
      <c r="R81" s="4">
        <v>1787.0</v>
      </c>
      <c r="S81" s="3" t="s">
        <v>78</v>
      </c>
      <c r="T81" s="3" t="s">
        <v>54</v>
      </c>
      <c r="U81" s="3" t="s">
        <v>79</v>
      </c>
      <c r="V81" s="3" t="s">
        <v>69</v>
      </c>
      <c r="W81" s="3" t="s">
        <v>70</v>
      </c>
      <c r="X81" s="3" t="s">
        <v>58</v>
      </c>
      <c r="Y81" s="3" t="s">
        <v>59</v>
      </c>
      <c r="Z81" s="4">
        <v>7.0</v>
      </c>
      <c r="AA81" s="3" t="s">
        <v>146</v>
      </c>
      <c r="AB81" s="7">
        <v>121.0</v>
      </c>
      <c r="AC81" s="7">
        <v>0.0</v>
      </c>
      <c r="AD81" s="7">
        <v>121.0</v>
      </c>
      <c r="AE81" s="7">
        <v>90.0</v>
      </c>
      <c r="AF81" s="7">
        <v>0.0</v>
      </c>
      <c r="AG81" s="7">
        <v>90.0</v>
      </c>
      <c r="AH81" s="7">
        <v>8.0</v>
      </c>
      <c r="AI81" s="7">
        <v>0.0</v>
      </c>
      <c r="AJ81" s="7">
        <v>8.0</v>
      </c>
      <c r="AK81" s="7">
        <v>0.0</v>
      </c>
      <c r="AL81" s="7">
        <v>0.0</v>
      </c>
      <c r="AM81" s="7">
        <v>8.0</v>
      </c>
      <c r="AN81" s="8">
        <v>224.0</v>
      </c>
      <c r="AO81" s="4">
        <v>93.33</v>
      </c>
    </row>
    <row r="82">
      <c r="A82" s="3" t="s">
        <v>41</v>
      </c>
      <c r="B82" s="4">
        <v>40334.0</v>
      </c>
      <c r="C82" s="9">
        <v>46026.0</v>
      </c>
      <c r="D82" s="4" t="s">
        <v>43</v>
      </c>
      <c r="E82" s="3" t="s">
        <v>44</v>
      </c>
      <c r="F82" s="4">
        <v>28410.0</v>
      </c>
      <c r="G82" s="3" t="s">
        <v>350</v>
      </c>
      <c r="H82" s="3" t="s">
        <v>351</v>
      </c>
      <c r="I82" s="4">
        <v>9.176203269E9</v>
      </c>
      <c r="J82" s="5">
        <v>43616.55366898148</v>
      </c>
      <c r="K82" s="3" t="s">
        <v>47</v>
      </c>
      <c r="L82" s="3" t="s">
        <v>272</v>
      </c>
      <c r="M82" s="3" t="s">
        <v>272</v>
      </c>
      <c r="N82" s="3" t="s">
        <v>273</v>
      </c>
      <c r="O82" s="3" t="s">
        <v>352</v>
      </c>
      <c r="P82" s="6">
        <v>46178.0</v>
      </c>
      <c r="Q82" s="7" t="s">
        <v>77</v>
      </c>
      <c r="R82" s="4">
        <v>1788.0</v>
      </c>
      <c r="S82" s="3" t="s">
        <v>230</v>
      </c>
      <c r="T82" s="3" t="s">
        <v>54</v>
      </c>
      <c r="U82" s="3" t="s">
        <v>79</v>
      </c>
      <c r="V82" s="3" t="s">
        <v>69</v>
      </c>
      <c r="W82" s="3" t="s">
        <v>70</v>
      </c>
      <c r="X82" s="3" t="s">
        <v>58</v>
      </c>
      <c r="Y82" s="3" t="s">
        <v>59</v>
      </c>
      <c r="Z82" s="4">
        <v>8.0</v>
      </c>
      <c r="AA82" s="3" t="s">
        <v>80</v>
      </c>
      <c r="AB82" s="7">
        <v>65.0</v>
      </c>
      <c r="AC82" s="7">
        <v>0.0</v>
      </c>
      <c r="AD82" s="7">
        <v>65.0</v>
      </c>
      <c r="AE82" s="7">
        <v>41.0</v>
      </c>
      <c r="AF82" s="7">
        <v>0.0</v>
      </c>
      <c r="AG82" s="7">
        <v>41.0</v>
      </c>
      <c r="AH82" s="7">
        <v>8.0</v>
      </c>
      <c r="AI82" s="7">
        <v>0.0</v>
      </c>
      <c r="AJ82" s="7">
        <v>8.0</v>
      </c>
      <c r="AK82" s="7">
        <v>0.0</v>
      </c>
      <c r="AL82" s="7">
        <v>0.0</v>
      </c>
      <c r="AM82" s="7">
        <v>8.0</v>
      </c>
      <c r="AN82" s="8">
        <v>80.0</v>
      </c>
      <c r="AO82" s="4">
        <v>58.82</v>
      </c>
    </row>
    <row r="83">
      <c r="A83" s="3" t="s">
        <v>41</v>
      </c>
      <c r="B83" s="4">
        <v>40224.0</v>
      </c>
      <c r="C83" s="9">
        <v>46026.0</v>
      </c>
      <c r="D83" s="4" t="s">
        <v>43</v>
      </c>
      <c r="E83" s="3" t="s">
        <v>44</v>
      </c>
      <c r="F83" s="4">
        <v>89014.0</v>
      </c>
      <c r="G83" s="3" t="s">
        <v>353</v>
      </c>
      <c r="H83" s="3" t="s">
        <v>354</v>
      </c>
      <c r="I83" s="4">
        <v>8.527108695E9</v>
      </c>
      <c r="J83" s="5">
        <v>46091.14934027778</v>
      </c>
      <c r="K83" s="3" t="s">
        <v>47</v>
      </c>
      <c r="L83" s="3" t="s">
        <v>161</v>
      </c>
      <c r="M83" s="3" t="s">
        <v>162</v>
      </c>
      <c r="N83" s="3" t="s">
        <v>50</v>
      </c>
      <c r="O83" s="3" t="s">
        <v>51</v>
      </c>
      <c r="P83" s="6">
        <v>46147.0</v>
      </c>
      <c r="Q83" s="7" t="s">
        <v>77</v>
      </c>
      <c r="R83" s="4">
        <v>1775.0</v>
      </c>
      <c r="S83" s="3" t="s">
        <v>295</v>
      </c>
      <c r="T83" s="3" t="s">
        <v>54</v>
      </c>
      <c r="U83" s="3" t="s">
        <v>79</v>
      </c>
      <c r="V83" s="3" t="s">
        <v>69</v>
      </c>
      <c r="W83" s="3" t="s">
        <v>70</v>
      </c>
      <c r="X83" s="3" t="s">
        <v>58</v>
      </c>
      <c r="Y83" s="3" t="s">
        <v>59</v>
      </c>
      <c r="Z83" s="4">
        <v>8.0</v>
      </c>
      <c r="AA83" s="3" t="s">
        <v>80</v>
      </c>
      <c r="AB83" s="7">
        <v>97.0</v>
      </c>
      <c r="AC83" s="7">
        <v>0.0</v>
      </c>
      <c r="AD83" s="7">
        <v>97.0</v>
      </c>
      <c r="AE83" s="7">
        <v>49.0</v>
      </c>
      <c r="AF83" s="7">
        <v>0.0</v>
      </c>
      <c r="AG83" s="7">
        <v>49.0</v>
      </c>
      <c r="AH83" s="7">
        <v>8.0</v>
      </c>
      <c r="AI83" s="7">
        <v>0.0</v>
      </c>
      <c r="AJ83" s="7">
        <v>8.0</v>
      </c>
      <c r="AK83" s="7">
        <v>0.0</v>
      </c>
      <c r="AL83" s="7">
        <v>0.0</v>
      </c>
      <c r="AM83" s="7">
        <v>8.0</v>
      </c>
      <c r="AN83" s="8">
        <v>72.0</v>
      </c>
      <c r="AO83" s="4">
        <v>90.0</v>
      </c>
    </row>
    <row r="84">
      <c r="A84" s="3" t="s">
        <v>41</v>
      </c>
      <c r="B84" s="4">
        <v>40388.0</v>
      </c>
      <c r="C84" s="4" t="s">
        <v>127</v>
      </c>
      <c r="D84" s="4" t="s">
        <v>128</v>
      </c>
      <c r="E84" s="3" t="s">
        <v>44</v>
      </c>
      <c r="F84" s="4">
        <v>60069.0</v>
      </c>
      <c r="G84" s="3" t="s">
        <v>355</v>
      </c>
      <c r="H84" s="3" t="s">
        <v>356</v>
      </c>
      <c r="I84" s="4">
        <v>9.875392037E9</v>
      </c>
      <c r="J84" s="5">
        <v>44820.50486111111</v>
      </c>
      <c r="K84" s="3" t="s">
        <v>47</v>
      </c>
      <c r="L84" s="3" t="s">
        <v>174</v>
      </c>
      <c r="M84" s="3" t="s">
        <v>175</v>
      </c>
      <c r="N84" s="3" t="s">
        <v>50</v>
      </c>
      <c r="O84" s="3" t="s">
        <v>133</v>
      </c>
      <c r="P84" s="6">
        <v>46117.0</v>
      </c>
      <c r="Q84" s="7" t="s">
        <v>95</v>
      </c>
      <c r="R84" s="4">
        <v>82.0</v>
      </c>
      <c r="S84" s="3" t="s">
        <v>357</v>
      </c>
      <c r="T84" s="3" t="s">
        <v>135</v>
      </c>
      <c r="U84" s="3" t="s">
        <v>136</v>
      </c>
      <c r="V84" s="3" t="s">
        <v>56</v>
      </c>
      <c r="W84" s="3" t="s">
        <v>57</v>
      </c>
      <c r="X84" s="3" t="s">
        <v>58</v>
      </c>
      <c r="Y84" s="3" t="s">
        <v>59</v>
      </c>
      <c r="Z84" s="4">
        <v>7.0</v>
      </c>
      <c r="AA84" s="3" t="s">
        <v>60</v>
      </c>
      <c r="AB84" s="7">
        <v>68.0</v>
      </c>
      <c r="AC84" s="7">
        <v>0.0</v>
      </c>
      <c r="AD84" s="7">
        <v>68.0</v>
      </c>
      <c r="AE84" s="7">
        <v>67.0</v>
      </c>
      <c r="AF84" s="7">
        <v>0.0</v>
      </c>
      <c r="AG84" s="7">
        <v>67.0</v>
      </c>
      <c r="AH84" s="7">
        <v>6.0</v>
      </c>
      <c r="AI84" s="7">
        <v>0.0</v>
      </c>
      <c r="AJ84" s="7">
        <v>5.0</v>
      </c>
      <c r="AK84" s="7">
        <v>1.0</v>
      </c>
      <c r="AL84" s="7">
        <v>0.0</v>
      </c>
      <c r="AM84" s="7">
        <v>6.0</v>
      </c>
      <c r="AN84" s="8">
        <v>174.0</v>
      </c>
      <c r="AO84" s="4">
        <v>90.63</v>
      </c>
    </row>
    <row r="85">
      <c r="A85" s="3" t="s">
        <v>41</v>
      </c>
      <c r="B85" s="4">
        <v>40390.0</v>
      </c>
      <c r="C85" s="4" t="s">
        <v>127</v>
      </c>
      <c r="D85" s="4" t="s">
        <v>128</v>
      </c>
      <c r="E85" s="3" t="s">
        <v>44</v>
      </c>
      <c r="F85" s="4">
        <v>60069.0</v>
      </c>
      <c r="G85" s="3" t="s">
        <v>355</v>
      </c>
      <c r="H85" s="3" t="s">
        <v>356</v>
      </c>
      <c r="I85" s="4">
        <v>9.875392037E9</v>
      </c>
      <c r="J85" s="5">
        <v>44820.50486111111</v>
      </c>
      <c r="K85" s="3" t="s">
        <v>47</v>
      </c>
      <c r="L85" s="3" t="s">
        <v>174</v>
      </c>
      <c r="M85" s="3" t="s">
        <v>175</v>
      </c>
      <c r="N85" s="3" t="s">
        <v>50</v>
      </c>
      <c r="O85" s="3" t="s">
        <v>133</v>
      </c>
      <c r="P85" s="6">
        <v>46117.0</v>
      </c>
      <c r="Q85" s="7" t="s">
        <v>95</v>
      </c>
      <c r="R85" s="4">
        <v>83.0</v>
      </c>
      <c r="S85" s="3" t="s">
        <v>358</v>
      </c>
      <c r="T85" s="3" t="s">
        <v>135</v>
      </c>
      <c r="U85" s="3" t="s">
        <v>136</v>
      </c>
      <c r="V85" s="3" t="s">
        <v>56</v>
      </c>
      <c r="W85" s="3" t="s">
        <v>57</v>
      </c>
      <c r="X85" s="3" t="s">
        <v>58</v>
      </c>
      <c r="Y85" s="3" t="s">
        <v>59</v>
      </c>
      <c r="Z85" s="4">
        <v>7.0</v>
      </c>
      <c r="AA85" s="3" t="s">
        <v>60</v>
      </c>
      <c r="AB85" s="7">
        <v>40.0</v>
      </c>
      <c r="AC85" s="7">
        <v>0.0</v>
      </c>
      <c r="AD85" s="7">
        <v>40.0</v>
      </c>
      <c r="AE85" s="7">
        <v>40.0</v>
      </c>
      <c r="AF85" s="7">
        <v>0.0</v>
      </c>
      <c r="AG85" s="7">
        <v>40.0</v>
      </c>
      <c r="AH85" s="7">
        <v>6.0</v>
      </c>
      <c r="AI85" s="7">
        <v>0.0</v>
      </c>
      <c r="AJ85" s="7">
        <v>5.0</v>
      </c>
      <c r="AK85" s="7">
        <v>1.0</v>
      </c>
      <c r="AL85" s="7">
        <v>0.0</v>
      </c>
      <c r="AM85" s="7">
        <v>6.0</v>
      </c>
      <c r="AN85" s="8">
        <v>76.0</v>
      </c>
      <c r="AO85" s="4">
        <v>79.17</v>
      </c>
    </row>
    <row r="86">
      <c r="A86" s="3" t="s">
        <v>41</v>
      </c>
      <c r="B86" s="4">
        <v>40326.0</v>
      </c>
      <c r="C86" s="9">
        <v>46026.0</v>
      </c>
      <c r="D86" s="4" t="s">
        <v>43</v>
      </c>
      <c r="E86" s="3" t="s">
        <v>44</v>
      </c>
      <c r="F86" s="4">
        <v>89849.0</v>
      </c>
      <c r="G86" s="3" t="s">
        <v>359</v>
      </c>
      <c r="H86" s="3" t="s">
        <v>360</v>
      </c>
      <c r="I86" s="4">
        <v>9.601033422E9</v>
      </c>
      <c r="J86" s="5">
        <v>46135.58565972222</v>
      </c>
      <c r="K86" s="3" t="s">
        <v>124</v>
      </c>
      <c r="L86" s="3" t="s">
        <v>161</v>
      </c>
      <c r="M86" s="3" t="s">
        <v>162</v>
      </c>
      <c r="N86" s="3" t="s">
        <v>50</v>
      </c>
      <c r="O86" s="3" t="s">
        <v>51</v>
      </c>
      <c r="P86" s="6">
        <v>46117.0</v>
      </c>
      <c r="Q86" s="7" t="s">
        <v>125</v>
      </c>
      <c r="R86" s="4">
        <v>1782.0</v>
      </c>
      <c r="S86" s="3" t="s">
        <v>281</v>
      </c>
      <c r="T86" s="3" t="s">
        <v>54</v>
      </c>
      <c r="U86" s="3" t="s">
        <v>68</v>
      </c>
      <c r="V86" s="3" t="s">
        <v>69</v>
      </c>
      <c r="W86" s="3" t="s">
        <v>70</v>
      </c>
      <c r="X86" s="3" t="s">
        <v>58</v>
      </c>
      <c r="Y86" s="3" t="s">
        <v>59</v>
      </c>
      <c r="Z86" s="4">
        <v>6.0</v>
      </c>
      <c r="AA86" s="3" t="s">
        <v>80</v>
      </c>
      <c r="AB86" s="7">
        <v>112.0</v>
      </c>
      <c r="AC86" s="7">
        <v>0.0</v>
      </c>
      <c r="AD86" s="7">
        <v>112.0</v>
      </c>
      <c r="AE86" s="7">
        <v>74.0</v>
      </c>
      <c r="AF86" s="7">
        <v>0.0</v>
      </c>
      <c r="AG86" s="7">
        <v>74.0</v>
      </c>
      <c r="AH86" s="7">
        <v>8.0</v>
      </c>
      <c r="AI86" s="7">
        <v>0.0</v>
      </c>
      <c r="AJ86" s="7">
        <v>8.0</v>
      </c>
      <c r="AK86" s="7">
        <v>0.0</v>
      </c>
      <c r="AL86" s="7">
        <v>0.0</v>
      </c>
      <c r="AM86" s="7">
        <v>8.0</v>
      </c>
      <c r="AN86" s="8">
        <v>88.0</v>
      </c>
      <c r="AO86" s="4">
        <v>50.0</v>
      </c>
    </row>
    <row r="87">
      <c r="A87" s="3" t="s">
        <v>41</v>
      </c>
      <c r="B87" s="4">
        <v>40230.0</v>
      </c>
      <c r="C87" s="9">
        <v>46026.0</v>
      </c>
      <c r="D87" s="4" t="s">
        <v>43</v>
      </c>
      <c r="E87" s="3" t="s">
        <v>244</v>
      </c>
      <c r="F87" s="4">
        <v>89774.0</v>
      </c>
      <c r="G87" s="3" t="s">
        <v>361</v>
      </c>
      <c r="H87" s="3" t="s">
        <v>362</v>
      </c>
      <c r="I87" s="4">
        <v>9.079623544E9</v>
      </c>
      <c r="J87" s="5">
        <v>46134.53733796296</v>
      </c>
      <c r="K87" s="3" t="s">
        <v>124</v>
      </c>
      <c r="L87" s="3" t="s">
        <v>161</v>
      </c>
      <c r="M87" s="3" t="s">
        <v>162</v>
      </c>
      <c r="N87" s="3" t="s">
        <v>50</v>
      </c>
      <c r="O87" s="3" t="s">
        <v>51</v>
      </c>
      <c r="P87" s="6">
        <v>46027.0</v>
      </c>
      <c r="Q87" s="7" t="s">
        <v>66</v>
      </c>
      <c r="R87" s="4">
        <v>1775.0</v>
      </c>
      <c r="S87" s="3" t="s">
        <v>295</v>
      </c>
      <c r="T87" s="3" t="s">
        <v>54</v>
      </c>
      <c r="U87" s="3" t="s">
        <v>79</v>
      </c>
      <c r="V87" s="3" t="s">
        <v>69</v>
      </c>
      <c r="W87" s="3" t="s">
        <v>70</v>
      </c>
      <c r="X87" s="3" t="s">
        <v>58</v>
      </c>
      <c r="Y87" s="3" t="s">
        <v>59</v>
      </c>
      <c r="Z87" s="4">
        <v>7.0</v>
      </c>
      <c r="AA87" s="3" t="s">
        <v>60</v>
      </c>
      <c r="AB87" s="7">
        <v>97.0</v>
      </c>
      <c r="AC87" s="7">
        <v>0.0</v>
      </c>
      <c r="AD87" s="7">
        <v>97.0</v>
      </c>
      <c r="AE87" s="7">
        <v>49.0</v>
      </c>
      <c r="AF87" s="7">
        <v>0.0</v>
      </c>
      <c r="AG87" s="7">
        <v>49.0</v>
      </c>
      <c r="AH87" s="7">
        <v>8.0</v>
      </c>
      <c r="AI87" s="7">
        <v>0.0</v>
      </c>
      <c r="AJ87" s="7">
        <v>8.0</v>
      </c>
      <c r="AK87" s="7">
        <v>0.0</v>
      </c>
      <c r="AL87" s="7">
        <v>0.0</v>
      </c>
      <c r="AM87" s="7">
        <v>8.0</v>
      </c>
      <c r="AN87" s="8">
        <v>124.0</v>
      </c>
      <c r="AO87" s="4">
        <v>91.18</v>
      </c>
    </row>
    <row r="88">
      <c r="A88" s="3" t="s">
        <v>41</v>
      </c>
      <c r="B88" s="4">
        <v>40225.0</v>
      </c>
      <c r="C88" s="9">
        <v>46299.0</v>
      </c>
      <c r="D88" s="4" t="s">
        <v>81</v>
      </c>
      <c r="E88" s="3" t="s">
        <v>44</v>
      </c>
      <c r="F88" s="4">
        <v>89451.0</v>
      </c>
      <c r="G88" s="3" t="s">
        <v>363</v>
      </c>
      <c r="H88" s="3" t="s">
        <v>364</v>
      </c>
      <c r="I88" s="4">
        <v>7.780882594E9</v>
      </c>
      <c r="J88" s="5">
        <v>46120.728113425925</v>
      </c>
      <c r="K88" s="3" t="s">
        <v>47</v>
      </c>
      <c r="L88" s="3" t="s">
        <v>365</v>
      </c>
      <c r="M88" s="3" t="s">
        <v>366</v>
      </c>
      <c r="N88" s="3" t="s">
        <v>50</v>
      </c>
      <c r="O88" s="3" t="s">
        <v>65</v>
      </c>
      <c r="P88" s="6">
        <v>46208.0</v>
      </c>
      <c r="Q88" s="7" t="s">
        <v>85</v>
      </c>
      <c r="R88" s="4">
        <v>1758.0</v>
      </c>
      <c r="S88" s="3" t="s">
        <v>190</v>
      </c>
      <c r="T88" s="3" t="s">
        <v>191</v>
      </c>
      <c r="U88" s="3" t="s">
        <v>192</v>
      </c>
      <c r="V88" s="3" t="s">
        <v>89</v>
      </c>
      <c r="W88" s="3" t="s">
        <v>57</v>
      </c>
      <c r="X88" s="3" t="s">
        <v>58</v>
      </c>
      <c r="Y88" s="3" t="s">
        <v>59</v>
      </c>
      <c r="Z88" s="4">
        <v>6.0</v>
      </c>
      <c r="AA88" s="3" t="s">
        <v>234</v>
      </c>
      <c r="AB88" s="7">
        <v>31.0</v>
      </c>
      <c r="AC88" s="7">
        <v>17.0</v>
      </c>
      <c r="AD88" s="7">
        <v>14.0</v>
      </c>
      <c r="AE88" s="7">
        <v>31.0</v>
      </c>
      <c r="AF88" s="7">
        <v>17.0</v>
      </c>
      <c r="AG88" s="7">
        <v>14.0</v>
      </c>
      <c r="AH88" s="7">
        <v>6.0</v>
      </c>
      <c r="AI88" s="7">
        <v>0.0</v>
      </c>
      <c r="AJ88" s="7">
        <v>4.0</v>
      </c>
      <c r="AK88" s="7">
        <v>0.0</v>
      </c>
      <c r="AL88" s="7">
        <v>2.0</v>
      </c>
      <c r="AM88" s="7">
        <v>4.0</v>
      </c>
      <c r="AN88" s="8">
        <v>32.0</v>
      </c>
      <c r="AO88" s="4">
        <v>80.0</v>
      </c>
    </row>
    <row r="89">
      <c r="A89" s="3" t="s">
        <v>41</v>
      </c>
      <c r="B89" s="4">
        <v>40322.0</v>
      </c>
      <c r="C89" s="9">
        <v>46026.0</v>
      </c>
      <c r="D89" s="4" t="s">
        <v>43</v>
      </c>
      <c r="E89" s="3" t="s">
        <v>44</v>
      </c>
      <c r="F89" s="4">
        <v>76520.0</v>
      </c>
      <c r="G89" s="3" t="s">
        <v>367</v>
      </c>
      <c r="H89" s="3" t="s">
        <v>368</v>
      </c>
      <c r="I89" s="4">
        <v>9.915026353E9</v>
      </c>
      <c r="J89" s="5">
        <v>45547.66155092593</v>
      </c>
      <c r="K89" s="3" t="s">
        <v>369</v>
      </c>
      <c r="L89" s="3" t="s">
        <v>370</v>
      </c>
      <c r="M89" s="3" t="s">
        <v>49</v>
      </c>
      <c r="N89" s="3" t="s">
        <v>50</v>
      </c>
      <c r="O89" s="3" t="s">
        <v>51</v>
      </c>
      <c r="P89" s="6">
        <v>46147.0</v>
      </c>
      <c r="Q89" s="7" t="s">
        <v>77</v>
      </c>
      <c r="R89" s="4">
        <v>1783.0</v>
      </c>
      <c r="S89" s="3" t="s">
        <v>310</v>
      </c>
      <c r="T89" s="3" t="s">
        <v>54</v>
      </c>
      <c r="U89" s="3" t="s">
        <v>68</v>
      </c>
      <c r="V89" s="3" t="s">
        <v>69</v>
      </c>
      <c r="W89" s="3" t="s">
        <v>70</v>
      </c>
      <c r="X89" s="3" t="s">
        <v>58</v>
      </c>
      <c r="Y89" s="3" t="s">
        <v>59</v>
      </c>
      <c r="Z89" s="4">
        <v>8.0</v>
      </c>
      <c r="AA89" s="3" t="s">
        <v>80</v>
      </c>
      <c r="AB89" s="7">
        <v>129.0</v>
      </c>
      <c r="AC89" s="7">
        <v>0.0</v>
      </c>
      <c r="AD89" s="7">
        <v>129.0</v>
      </c>
      <c r="AE89" s="7">
        <v>93.0</v>
      </c>
      <c r="AF89" s="7">
        <v>0.0</v>
      </c>
      <c r="AG89" s="7">
        <v>93.0</v>
      </c>
      <c r="AH89" s="7">
        <v>8.0</v>
      </c>
      <c r="AI89" s="7">
        <v>0.0</v>
      </c>
      <c r="AJ89" s="7">
        <v>8.0</v>
      </c>
      <c r="AK89" s="7">
        <v>0.0</v>
      </c>
      <c r="AL89" s="7">
        <v>0.0</v>
      </c>
      <c r="AM89" s="7">
        <v>8.0</v>
      </c>
      <c r="AN89" s="8">
        <v>288.0</v>
      </c>
      <c r="AO89" s="4">
        <v>100.0</v>
      </c>
    </row>
    <row r="90">
      <c r="A90" s="3" t="s">
        <v>41</v>
      </c>
      <c r="B90" s="4">
        <v>40250.0</v>
      </c>
      <c r="C90" s="9">
        <v>46026.0</v>
      </c>
      <c r="D90" s="4" t="s">
        <v>43</v>
      </c>
      <c r="E90" s="3" t="s">
        <v>44</v>
      </c>
      <c r="F90" s="4">
        <v>85118.0</v>
      </c>
      <c r="G90" s="3" t="s">
        <v>371</v>
      </c>
      <c r="H90" s="3" t="s">
        <v>372</v>
      </c>
      <c r="I90" s="4">
        <v>9.883944682E9</v>
      </c>
      <c r="J90" s="5">
        <v>45890.809386574074</v>
      </c>
      <c r="K90" s="3" t="s">
        <v>47</v>
      </c>
      <c r="L90" s="3" t="s">
        <v>373</v>
      </c>
      <c r="M90" s="3" t="s">
        <v>175</v>
      </c>
      <c r="N90" s="3" t="s">
        <v>50</v>
      </c>
      <c r="O90" s="3" t="s">
        <v>101</v>
      </c>
      <c r="P90" s="6">
        <v>46147.0</v>
      </c>
      <c r="Q90" s="7" t="s">
        <v>77</v>
      </c>
      <c r="R90" s="4">
        <v>1785.0</v>
      </c>
      <c r="S90" s="3" t="s">
        <v>209</v>
      </c>
      <c r="T90" s="3" t="s">
        <v>54</v>
      </c>
      <c r="U90" s="3" t="s">
        <v>79</v>
      </c>
      <c r="V90" s="3" t="s">
        <v>69</v>
      </c>
      <c r="W90" s="3" t="s">
        <v>70</v>
      </c>
      <c r="X90" s="3" t="s">
        <v>58</v>
      </c>
      <c r="Y90" s="3" t="s">
        <v>59</v>
      </c>
      <c r="Z90" s="4">
        <v>7.0</v>
      </c>
      <c r="AA90" s="3" t="s">
        <v>60</v>
      </c>
      <c r="AB90" s="7">
        <v>112.0</v>
      </c>
      <c r="AC90" s="7">
        <v>0.0</v>
      </c>
      <c r="AD90" s="7">
        <v>112.0</v>
      </c>
      <c r="AE90" s="7">
        <v>75.0</v>
      </c>
      <c r="AF90" s="7">
        <v>0.0</v>
      </c>
      <c r="AG90" s="7">
        <v>75.0</v>
      </c>
      <c r="AH90" s="7">
        <v>8.0</v>
      </c>
      <c r="AI90" s="7">
        <v>0.0</v>
      </c>
      <c r="AJ90" s="7">
        <v>8.0</v>
      </c>
      <c r="AK90" s="7">
        <v>0.0</v>
      </c>
      <c r="AL90" s="7">
        <v>0.0</v>
      </c>
      <c r="AM90" s="7">
        <v>8.0</v>
      </c>
      <c r="AN90" s="8">
        <v>110.0</v>
      </c>
      <c r="AO90" s="4">
        <v>57.29</v>
      </c>
    </row>
    <row r="91">
      <c r="A91" s="3" t="s">
        <v>41</v>
      </c>
      <c r="B91" s="4">
        <v>40303.0</v>
      </c>
      <c r="C91" s="9">
        <v>46026.0</v>
      </c>
      <c r="D91" s="4" t="s">
        <v>43</v>
      </c>
      <c r="E91" s="3" t="s">
        <v>44</v>
      </c>
      <c r="F91" s="4">
        <v>89778.0</v>
      </c>
      <c r="G91" s="3" t="s">
        <v>374</v>
      </c>
      <c r="H91" s="3" t="s">
        <v>375</v>
      </c>
      <c r="I91" s="4">
        <v>8.080588975E9</v>
      </c>
      <c r="J91" s="5">
        <v>46134.539988425924</v>
      </c>
      <c r="K91" s="3" t="s">
        <v>124</v>
      </c>
      <c r="L91" s="3" t="s">
        <v>161</v>
      </c>
      <c r="M91" s="3" t="s">
        <v>162</v>
      </c>
      <c r="N91" s="3" t="s">
        <v>50</v>
      </c>
      <c r="O91" s="3" t="s">
        <v>51</v>
      </c>
      <c r="P91" s="6">
        <v>46027.0</v>
      </c>
      <c r="Q91" s="7" t="s">
        <v>66</v>
      </c>
      <c r="R91" s="4">
        <v>1778.0</v>
      </c>
      <c r="S91" s="3" t="s">
        <v>126</v>
      </c>
      <c r="T91" s="3" t="s">
        <v>54</v>
      </c>
      <c r="U91" s="3" t="s">
        <v>68</v>
      </c>
      <c r="V91" s="3" t="s">
        <v>69</v>
      </c>
      <c r="W91" s="3" t="s">
        <v>70</v>
      </c>
      <c r="X91" s="3" t="s">
        <v>58</v>
      </c>
      <c r="Y91" s="3" t="s">
        <v>59</v>
      </c>
      <c r="Z91" s="4">
        <v>8.0</v>
      </c>
      <c r="AA91" s="3" t="s">
        <v>60</v>
      </c>
      <c r="AB91" s="7">
        <v>116.0</v>
      </c>
      <c r="AC91" s="7">
        <v>0.0</v>
      </c>
      <c r="AD91" s="7">
        <v>116.0</v>
      </c>
      <c r="AE91" s="7">
        <v>80.0</v>
      </c>
      <c r="AF91" s="7">
        <v>0.0</v>
      </c>
      <c r="AG91" s="7">
        <v>80.0</v>
      </c>
      <c r="AH91" s="7">
        <v>8.0</v>
      </c>
      <c r="AI91" s="7">
        <v>0.0</v>
      </c>
      <c r="AJ91" s="7">
        <v>8.0</v>
      </c>
      <c r="AK91" s="7">
        <v>0.0</v>
      </c>
      <c r="AL91" s="7">
        <v>0.0</v>
      </c>
      <c r="AM91" s="7">
        <v>8.0</v>
      </c>
      <c r="AN91" s="8">
        <v>138.0</v>
      </c>
      <c r="AO91" s="4">
        <v>53.91</v>
      </c>
    </row>
    <row r="92">
      <c r="A92" s="3" t="s">
        <v>41</v>
      </c>
      <c r="B92" s="4">
        <v>40297.0</v>
      </c>
      <c r="C92" s="9">
        <v>46026.0</v>
      </c>
      <c r="D92" s="4" t="s">
        <v>43</v>
      </c>
      <c r="E92" s="3" t="s">
        <v>44</v>
      </c>
      <c r="F92" s="4">
        <v>89744.0</v>
      </c>
      <c r="G92" s="3" t="s">
        <v>376</v>
      </c>
      <c r="H92" s="3" t="s">
        <v>377</v>
      </c>
      <c r="I92" s="4">
        <v>6.200841922E9</v>
      </c>
      <c r="J92" s="5">
        <v>46134.53181712963</v>
      </c>
      <c r="K92" s="3" t="s">
        <v>124</v>
      </c>
      <c r="L92" s="3" t="s">
        <v>161</v>
      </c>
      <c r="M92" s="3" t="s">
        <v>162</v>
      </c>
      <c r="N92" s="3" t="s">
        <v>50</v>
      </c>
      <c r="O92" s="3" t="s">
        <v>51</v>
      </c>
      <c r="P92" s="6">
        <v>46027.0</v>
      </c>
      <c r="Q92" s="7" t="s">
        <v>66</v>
      </c>
      <c r="R92" s="4">
        <v>1777.0</v>
      </c>
      <c r="S92" s="3" t="s">
        <v>113</v>
      </c>
      <c r="T92" s="3" t="s">
        <v>54</v>
      </c>
      <c r="U92" s="3" t="s">
        <v>79</v>
      </c>
      <c r="V92" s="3" t="s">
        <v>69</v>
      </c>
      <c r="W92" s="3" t="s">
        <v>70</v>
      </c>
      <c r="X92" s="3" t="s">
        <v>58</v>
      </c>
      <c r="Y92" s="3" t="s">
        <v>59</v>
      </c>
      <c r="Z92" s="4">
        <v>8.0</v>
      </c>
      <c r="AA92" s="3" t="s">
        <v>60</v>
      </c>
      <c r="AB92" s="7">
        <v>84.0</v>
      </c>
      <c r="AC92" s="7">
        <v>0.0</v>
      </c>
      <c r="AD92" s="7">
        <v>84.0</v>
      </c>
      <c r="AE92" s="7">
        <v>50.0</v>
      </c>
      <c r="AF92" s="7">
        <v>0.0</v>
      </c>
      <c r="AG92" s="7">
        <v>50.0</v>
      </c>
      <c r="AH92" s="7">
        <v>8.0</v>
      </c>
      <c r="AI92" s="7">
        <v>0.0</v>
      </c>
      <c r="AJ92" s="7">
        <v>8.0</v>
      </c>
      <c r="AK92" s="7">
        <v>0.0</v>
      </c>
      <c r="AL92" s="7">
        <v>0.0</v>
      </c>
      <c r="AM92" s="7">
        <v>8.0</v>
      </c>
      <c r="AN92" s="8">
        <v>163.0</v>
      </c>
      <c r="AO92" s="4">
        <v>58.21</v>
      </c>
    </row>
    <row r="93">
      <c r="A93" s="3" t="s">
        <v>41</v>
      </c>
      <c r="B93" s="4">
        <v>40339.0</v>
      </c>
      <c r="C93" s="9">
        <v>46026.0</v>
      </c>
      <c r="D93" s="4" t="s">
        <v>43</v>
      </c>
      <c r="E93" s="3" t="s">
        <v>44</v>
      </c>
      <c r="F93" s="4">
        <v>89719.0</v>
      </c>
      <c r="G93" s="3" t="s">
        <v>378</v>
      </c>
      <c r="H93" s="3" t="s">
        <v>379</v>
      </c>
      <c r="I93" s="4">
        <v>8.971220074E9</v>
      </c>
      <c r="J93" s="5">
        <v>46134.52402777778</v>
      </c>
      <c r="K93" s="3" t="s">
        <v>124</v>
      </c>
      <c r="L93" s="3" t="s">
        <v>161</v>
      </c>
      <c r="M93" s="3" t="s">
        <v>162</v>
      </c>
      <c r="N93" s="3" t="s">
        <v>50</v>
      </c>
      <c r="O93" s="3" t="s">
        <v>51</v>
      </c>
      <c r="P93" s="6">
        <v>46117.0</v>
      </c>
      <c r="Q93" s="7" t="s">
        <v>125</v>
      </c>
      <c r="R93" s="4">
        <v>1786.0</v>
      </c>
      <c r="S93" s="3" t="s">
        <v>380</v>
      </c>
      <c r="T93" s="3" t="s">
        <v>54</v>
      </c>
      <c r="U93" s="3" t="s">
        <v>79</v>
      </c>
      <c r="V93" s="3" t="s">
        <v>69</v>
      </c>
      <c r="W93" s="3" t="s">
        <v>70</v>
      </c>
      <c r="X93" s="3" t="s">
        <v>58</v>
      </c>
      <c r="Y93" s="3" t="s">
        <v>59</v>
      </c>
      <c r="Z93" s="4">
        <v>7.0</v>
      </c>
      <c r="AA93" s="3" t="s">
        <v>146</v>
      </c>
      <c r="AB93" s="7">
        <v>102.0</v>
      </c>
      <c r="AC93" s="7">
        <v>0.0</v>
      </c>
      <c r="AD93" s="7">
        <v>102.0</v>
      </c>
      <c r="AE93" s="7">
        <v>74.0</v>
      </c>
      <c r="AF93" s="7">
        <v>0.0</v>
      </c>
      <c r="AG93" s="7">
        <v>74.0</v>
      </c>
      <c r="AH93" s="7">
        <v>8.0</v>
      </c>
      <c r="AI93" s="7">
        <v>0.0</v>
      </c>
      <c r="AJ93" s="7">
        <v>8.0</v>
      </c>
      <c r="AK93" s="7">
        <v>0.0</v>
      </c>
      <c r="AL93" s="7">
        <v>0.0</v>
      </c>
      <c r="AM93" s="7">
        <v>8.0</v>
      </c>
      <c r="AN93" s="8">
        <v>80.0</v>
      </c>
      <c r="AO93" s="4">
        <v>100.0</v>
      </c>
    </row>
    <row r="94">
      <c r="A94" s="3" t="s">
        <v>41</v>
      </c>
      <c r="B94" s="4">
        <v>40375.0</v>
      </c>
      <c r="C94" s="4" t="s">
        <v>42</v>
      </c>
      <c r="D94" s="4" t="s">
        <v>43</v>
      </c>
      <c r="E94" s="3" t="s">
        <v>44</v>
      </c>
      <c r="F94" s="4">
        <v>62094.0</v>
      </c>
      <c r="G94" s="3" t="s">
        <v>381</v>
      </c>
      <c r="H94" s="3" t="s">
        <v>382</v>
      </c>
      <c r="I94" s="4">
        <v>9.971567837E9</v>
      </c>
      <c r="J94" s="5">
        <v>44941.0393287037</v>
      </c>
      <c r="K94" s="3" t="s">
        <v>47</v>
      </c>
      <c r="L94" s="3" t="s">
        <v>383</v>
      </c>
      <c r="M94" s="3" t="s">
        <v>54</v>
      </c>
      <c r="N94" s="3" t="s">
        <v>50</v>
      </c>
      <c r="O94" s="3" t="s">
        <v>183</v>
      </c>
      <c r="P94" s="6">
        <v>46117.0</v>
      </c>
      <c r="Q94" s="7" t="s">
        <v>85</v>
      </c>
      <c r="R94" s="4">
        <v>1945.0</v>
      </c>
      <c r="S94" s="3" t="s">
        <v>384</v>
      </c>
      <c r="T94" s="3" t="s">
        <v>54</v>
      </c>
      <c r="U94" s="3" t="s">
        <v>108</v>
      </c>
      <c r="V94" s="3" t="s">
        <v>56</v>
      </c>
      <c r="W94" s="3" t="s">
        <v>57</v>
      </c>
      <c r="X94" s="3" t="s">
        <v>58</v>
      </c>
      <c r="Y94" s="3" t="s">
        <v>59</v>
      </c>
      <c r="Z94" s="4">
        <v>8.0</v>
      </c>
      <c r="AA94" s="3" t="s">
        <v>60</v>
      </c>
      <c r="AB94" s="7">
        <v>62.0</v>
      </c>
      <c r="AC94" s="7">
        <v>0.0</v>
      </c>
      <c r="AD94" s="7">
        <v>62.0</v>
      </c>
      <c r="AE94" s="7">
        <v>62.0</v>
      </c>
      <c r="AF94" s="7">
        <v>0.0</v>
      </c>
      <c r="AG94" s="7">
        <v>62.0</v>
      </c>
      <c r="AH94" s="7">
        <v>7.0</v>
      </c>
      <c r="AI94" s="7">
        <v>0.0</v>
      </c>
      <c r="AJ94" s="7">
        <v>7.0</v>
      </c>
      <c r="AK94" s="7">
        <v>0.0</v>
      </c>
      <c r="AL94" s="7">
        <v>0.0</v>
      </c>
      <c r="AM94" s="7">
        <v>7.0</v>
      </c>
      <c r="AN94" s="8">
        <v>232.0</v>
      </c>
      <c r="AO94" s="4">
        <v>97.07</v>
      </c>
    </row>
    <row r="95">
      <c r="A95" s="3" t="s">
        <v>41</v>
      </c>
      <c r="B95" s="4">
        <v>40298.0</v>
      </c>
      <c r="C95" s="9">
        <v>46026.0</v>
      </c>
      <c r="D95" s="4" t="s">
        <v>43</v>
      </c>
      <c r="E95" s="3" t="s">
        <v>44</v>
      </c>
      <c r="F95" s="4">
        <v>89802.0</v>
      </c>
      <c r="G95" s="3" t="s">
        <v>385</v>
      </c>
      <c r="H95" s="3" t="s">
        <v>386</v>
      </c>
      <c r="I95" s="4">
        <v>9.983094884E9</v>
      </c>
      <c r="J95" s="5">
        <v>46134.654131944444</v>
      </c>
      <c r="K95" s="3" t="s">
        <v>124</v>
      </c>
      <c r="L95" s="3" t="s">
        <v>94</v>
      </c>
      <c r="M95" s="3" t="s">
        <v>64</v>
      </c>
      <c r="N95" s="3" t="s">
        <v>50</v>
      </c>
      <c r="O95" s="3" t="s">
        <v>51</v>
      </c>
      <c r="P95" s="6">
        <v>46117.0</v>
      </c>
      <c r="Q95" s="7" t="s">
        <v>125</v>
      </c>
      <c r="R95" s="4">
        <v>1778.0</v>
      </c>
      <c r="S95" s="3" t="s">
        <v>126</v>
      </c>
      <c r="T95" s="3" t="s">
        <v>54</v>
      </c>
      <c r="U95" s="3" t="s">
        <v>68</v>
      </c>
      <c r="V95" s="3" t="s">
        <v>69</v>
      </c>
      <c r="W95" s="3" t="s">
        <v>70</v>
      </c>
      <c r="X95" s="3" t="s">
        <v>58</v>
      </c>
      <c r="Y95" s="3" t="s">
        <v>59</v>
      </c>
      <c r="Z95" s="4">
        <v>6.0</v>
      </c>
      <c r="AA95" s="3" t="s">
        <v>80</v>
      </c>
      <c r="AB95" s="7">
        <v>116.0</v>
      </c>
      <c r="AC95" s="7">
        <v>0.0</v>
      </c>
      <c r="AD95" s="7">
        <v>116.0</v>
      </c>
      <c r="AE95" s="7">
        <v>80.0</v>
      </c>
      <c r="AF95" s="7">
        <v>0.0</v>
      </c>
      <c r="AG95" s="7">
        <v>80.0</v>
      </c>
      <c r="AH95" s="7">
        <v>8.0</v>
      </c>
      <c r="AI95" s="7">
        <v>0.0</v>
      </c>
      <c r="AJ95" s="7">
        <v>8.0</v>
      </c>
      <c r="AK95" s="7">
        <v>0.0</v>
      </c>
      <c r="AL95" s="7">
        <v>0.0</v>
      </c>
      <c r="AM95" s="7">
        <v>8.0</v>
      </c>
      <c r="AN95" s="8">
        <v>76.0</v>
      </c>
      <c r="AO95" s="4">
        <v>73.96</v>
      </c>
    </row>
    <row r="96">
      <c r="A96" s="3" t="s">
        <v>41</v>
      </c>
      <c r="B96" s="4">
        <v>40359.0</v>
      </c>
      <c r="C96" s="9">
        <v>46026.0</v>
      </c>
      <c r="D96" s="4" t="s">
        <v>43</v>
      </c>
      <c r="E96" s="3" t="s">
        <v>44</v>
      </c>
      <c r="F96" s="4">
        <v>89874.0</v>
      </c>
      <c r="G96" s="3" t="s">
        <v>387</v>
      </c>
      <c r="H96" s="3" t="s">
        <v>388</v>
      </c>
      <c r="I96" s="4">
        <v>7.348182684E9</v>
      </c>
      <c r="J96" s="5">
        <v>46135.78319444445</v>
      </c>
      <c r="K96" s="3" t="s">
        <v>124</v>
      </c>
      <c r="L96" s="3" t="s">
        <v>389</v>
      </c>
      <c r="M96" s="3" t="s">
        <v>54</v>
      </c>
      <c r="N96" s="3" t="s">
        <v>50</v>
      </c>
      <c r="O96" s="3" t="s">
        <v>51</v>
      </c>
      <c r="P96" s="6">
        <v>46117.0</v>
      </c>
      <c r="Q96" s="7" t="s">
        <v>106</v>
      </c>
      <c r="R96" s="4">
        <v>1793.0</v>
      </c>
      <c r="S96" s="3" t="s">
        <v>158</v>
      </c>
      <c r="T96" s="3" t="s">
        <v>54</v>
      </c>
      <c r="U96" s="3" t="s">
        <v>79</v>
      </c>
      <c r="V96" s="3" t="s">
        <v>69</v>
      </c>
      <c r="W96" s="3" t="s">
        <v>70</v>
      </c>
      <c r="X96" s="3" t="s">
        <v>58</v>
      </c>
      <c r="Y96" s="3" t="s">
        <v>59</v>
      </c>
      <c r="Z96" s="4">
        <v>7.0</v>
      </c>
      <c r="AA96" s="3" t="s">
        <v>146</v>
      </c>
      <c r="AB96" s="7">
        <v>100.0</v>
      </c>
      <c r="AC96" s="7">
        <v>0.0</v>
      </c>
      <c r="AD96" s="7">
        <v>100.0</v>
      </c>
      <c r="AE96" s="7">
        <v>66.0</v>
      </c>
      <c r="AF96" s="7">
        <v>0.0</v>
      </c>
      <c r="AG96" s="7">
        <v>66.0</v>
      </c>
      <c r="AH96" s="7">
        <v>8.0</v>
      </c>
      <c r="AI96" s="7">
        <v>0.0</v>
      </c>
      <c r="AJ96" s="7">
        <v>8.0</v>
      </c>
      <c r="AK96" s="7">
        <v>0.0</v>
      </c>
      <c r="AL96" s="7">
        <v>0.0</v>
      </c>
      <c r="AM96" s="7">
        <v>8.0</v>
      </c>
      <c r="AN96" s="8">
        <v>107.0</v>
      </c>
      <c r="AO96" s="4">
        <v>78.68</v>
      </c>
    </row>
    <row r="97">
      <c r="A97" s="3" t="s">
        <v>41</v>
      </c>
      <c r="B97" s="4">
        <v>40399.0</v>
      </c>
      <c r="C97" s="4" t="s">
        <v>127</v>
      </c>
      <c r="D97" s="4" t="s">
        <v>128</v>
      </c>
      <c r="E97" s="3" t="s">
        <v>44</v>
      </c>
      <c r="F97" s="4">
        <v>85087.0</v>
      </c>
      <c r="G97" s="3" t="s">
        <v>390</v>
      </c>
      <c r="H97" s="3" t="s">
        <v>391</v>
      </c>
      <c r="I97" s="4">
        <v>9.830704044E9</v>
      </c>
      <c r="J97" s="5">
        <v>45890.63324074074</v>
      </c>
      <c r="K97" s="3" t="s">
        <v>392</v>
      </c>
      <c r="L97" s="3" t="s">
        <v>174</v>
      </c>
      <c r="M97" s="3" t="s">
        <v>175</v>
      </c>
      <c r="N97" s="3" t="s">
        <v>50</v>
      </c>
      <c r="O97" s="3" t="s">
        <v>51</v>
      </c>
      <c r="P97" s="6">
        <v>46117.0</v>
      </c>
      <c r="Q97" s="7" t="s">
        <v>95</v>
      </c>
      <c r="R97" s="4">
        <v>1274.0</v>
      </c>
      <c r="S97" s="3" t="s">
        <v>134</v>
      </c>
      <c r="T97" s="3" t="s">
        <v>135</v>
      </c>
      <c r="U97" s="3" t="s">
        <v>136</v>
      </c>
      <c r="V97" s="3" t="s">
        <v>56</v>
      </c>
      <c r="W97" s="3" t="s">
        <v>57</v>
      </c>
      <c r="X97" s="3" t="s">
        <v>58</v>
      </c>
      <c r="Y97" s="3" t="s">
        <v>59</v>
      </c>
      <c r="Z97" s="4">
        <v>7.0</v>
      </c>
      <c r="AA97" s="3" t="s">
        <v>60</v>
      </c>
      <c r="AB97" s="7">
        <v>157.0</v>
      </c>
      <c r="AC97" s="7">
        <v>71.0</v>
      </c>
      <c r="AD97" s="7">
        <v>86.0</v>
      </c>
      <c r="AE97" s="7">
        <v>108.0</v>
      </c>
      <c r="AF97" s="7">
        <v>49.0</v>
      </c>
      <c r="AG97" s="7">
        <v>59.0</v>
      </c>
      <c r="AH97" s="7">
        <v>6.0</v>
      </c>
      <c r="AI97" s="7">
        <v>0.0</v>
      </c>
      <c r="AJ97" s="7">
        <v>6.0</v>
      </c>
      <c r="AK97" s="7">
        <v>0.0</v>
      </c>
      <c r="AL97" s="7">
        <v>0.0</v>
      </c>
      <c r="AM97" s="7">
        <v>6.0</v>
      </c>
      <c r="AN97" s="8">
        <v>63.0</v>
      </c>
      <c r="AO97" s="4">
        <v>36.21</v>
      </c>
    </row>
    <row r="98">
      <c r="A98" s="3" t="s">
        <v>41</v>
      </c>
      <c r="B98" s="4">
        <v>40335.0</v>
      </c>
      <c r="C98" s="9">
        <v>46026.0</v>
      </c>
      <c r="D98" s="4" t="s">
        <v>43</v>
      </c>
      <c r="E98" s="3" t="s">
        <v>44</v>
      </c>
      <c r="F98" s="4">
        <v>89811.0</v>
      </c>
      <c r="G98" s="3" t="s">
        <v>393</v>
      </c>
      <c r="H98" s="3" t="s">
        <v>394</v>
      </c>
      <c r="I98" s="4">
        <v>7.903988798E9</v>
      </c>
      <c r="J98" s="5">
        <v>46134.71668981481</v>
      </c>
      <c r="K98" s="3" t="s">
        <v>47</v>
      </c>
      <c r="L98" s="3" t="s">
        <v>395</v>
      </c>
      <c r="M98" s="3" t="s">
        <v>135</v>
      </c>
      <c r="N98" s="3" t="s">
        <v>50</v>
      </c>
      <c r="O98" s="3" t="s">
        <v>76</v>
      </c>
      <c r="P98" s="6">
        <v>46208.0</v>
      </c>
      <c r="Q98" s="7" t="s">
        <v>77</v>
      </c>
      <c r="R98" s="4">
        <v>1788.0</v>
      </c>
      <c r="S98" s="3" t="s">
        <v>230</v>
      </c>
      <c r="T98" s="3" t="s">
        <v>54</v>
      </c>
      <c r="U98" s="3" t="s">
        <v>79</v>
      </c>
      <c r="V98" s="3" t="s">
        <v>69</v>
      </c>
      <c r="W98" s="3" t="s">
        <v>70</v>
      </c>
      <c r="X98" s="3" t="s">
        <v>58</v>
      </c>
      <c r="Y98" s="3" t="s">
        <v>59</v>
      </c>
      <c r="Z98" s="4">
        <v>6.0</v>
      </c>
      <c r="AA98" s="3" t="s">
        <v>60</v>
      </c>
      <c r="AB98" s="7">
        <v>65.0</v>
      </c>
      <c r="AC98" s="7">
        <v>0.0</v>
      </c>
      <c r="AD98" s="7">
        <v>65.0</v>
      </c>
      <c r="AE98" s="7">
        <v>41.0</v>
      </c>
      <c r="AF98" s="7">
        <v>0.0</v>
      </c>
      <c r="AG98" s="7">
        <v>41.0</v>
      </c>
      <c r="AH98" s="7">
        <v>7.0</v>
      </c>
      <c r="AI98" s="7">
        <v>0.0</v>
      </c>
      <c r="AJ98" s="7">
        <v>7.0</v>
      </c>
      <c r="AK98" s="7">
        <v>0.0</v>
      </c>
      <c r="AL98" s="7">
        <v>0.0</v>
      </c>
      <c r="AM98" s="7">
        <v>7.0</v>
      </c>
      <c r="AN98" s="8">
        <v>85.0</v>
      </c>
      <c r="AO98" s="4">
        <v>67.46</v>
      </c>
    </row>
    <row r="99">
      <c r="A99" s="3" t="s">
        <v>41</v>
      </c>
      <c r="B99" s="4">
        <v>40226.0</v>
      </c>
      <c r="C99" s="9">
        <v>46299.0</v>
      </c>
      <c r="D99" s="4" t="s">
        <v>81</v>
      </c>
      <c r="E99" s="3" t="s">
        <v>44</v>
      </c>
      <c r="F99" s="4">
        <v>74008.0</v>
      </c>
      <c r="G99" s="3" t="s">
        <v>396</v>
      </c>
      <c r="H99" s="3" t="s">
        <v>397</v>
      </c>
      <c r="I99" s="4">
        <v>8.765346757E9</v>
      </c>
      <c r="J99" s="5">
        <v>45480.766863425924</v>
      </c>
      <c r="K99" s="3" t="s">
        <v>47</v>
      </c>
      <c r="L99" s="3" t="s">
        <v>398</v>
      </c>
      <c r="M99" s="3" t="s">
        <v>54</v>
      </c>
      <c r="N99" s="3" t="s">
        <v>50</v>
      </c>
      <c r="O99" s="3" t="s">
        <v>274</v>
      </c>
      <c r="P99" s="6">
        <v>46147.0</v>
      </c>
      <c r="Q99" s="7" t="s">
        <v>106</v>
      </c>
      <c r="R99" s="4">
        <v>1758.0</v>
      </c>
      <c r="S99" s="3" t="s">
        <v>190</v>
      </c>
      <c r="T99" s="3" t="s">
        <v>191</v>
      </c>
      <c r="U99" s="3" t="s">
        <v>192</v>
      </c>
      <c r="V99" s="3" t="s">
        <v>89</v>
      </c>
      <c r="W99" s="3" t="s">
        <v>57</v>
      </c>
      <c r="X99" s="3" t="s">
        <v>58</v>
      </c>
      <c r="Y99" s="3" t="s">
        <v>59</v>
      </c>
      <c r="Z99" s="4">
        <v>8.0</v>
      </c>
      <c r="AA99" s="3" t="s">
        <v>234</v>
      </c>
      <c r="AB99" s="7">
        <v>31.0</v>
      </c>
      <c r="AC99" s="7">
        <v>17.0</v>
      </c>
      <c r="AD99" s="7">
        <v>14.0</v>
      </c>
      <c r="AE99" s="7">
        <v>31.0</v>
      </c>
      <c r="AF99" s="7">
        <v>17.0</v>
      </c>
      <c r="AG99" s="7">
        <v>14.0</v>
      </c>
      <c r="AH99" s="7">
        <v>7.0</v>
      </c>
      <c r="AI99" s="7">
        <v>0.0</v>
      </c>
      <c r="AJ99" s="7">
        <v>5.0</v>
      </c>
      <c r="AK99" s="7">
        <v>0.0</v>
      </c>
      <c r="AL99" s="7">
        <v>2.0</v>
      </c>
      <c r="AM99" s="7">
        <v>5.0</v>
      </c>
      <c r="AN99" s="8">
        <v>55.0</v>
      </c>
      <c r="AO99" s="4">
        <v>100.0</v>
      </c>
    </row>
    <row r="100">
      <c r="A100" s="3" t="s">
        <v>41</v>
      </c>
      <c r="B100" s="4">
        <v>40260.0</v>
      </c>
      <c r="C100" s="4" t="s">
        <v>42</v>
      </c>
      <c r="D100" s="4" t="s">
        <v>81</v>
      </c>
      <c r="E100" s="3" t="s">
        <v>44</v>
      </c>
      <c r="F100" s="4">
        <v>89378.0</v>
      </c>
      <c r="G100" s="3" t="s">
        <v>399</v>
      </c>
      <c r="H100" s="3" t="s">
        <v>400</v>
      </c>
      <c r="I100" s="4">
        <v>6.001452446E9</v>
      </c>
      <c r="J100" s="5">
        <v>46116.53892361111</v>
      </c>
      <c r="K100" s="3" t="s">
        <v>47</v>
      </c>
      <c r="L100" s="3" t="s">
        <v>161</v>
      </c>
      <c r="M100" s="3" t="s">
        <v>162</v>
      </c>
      <c r="N100" s="3" t="s">
        <v>50</v>
      </c>
      <c r="O100" s="3" t="s">
        <v>51</v>
      </c>
      <c r="P100" s="6">
        <v>46058.0</v>
      </c>
      <c r="Q100" s="7" t="s">
        <v>66</v>
      </c>
      <c r="R100" s="4">
        <v>1984.0</v>
      </c>
      <c r="S100" s="3" t="s">
        <v>86</v>
      </c>
      <c r="T100" s="3" t="s">
        <v>87</v>
      </c>
      <c r="U100" s="3" t="s">
        <v>88</v>
      </c>
      <c r="V100" s="3" t="s">
        <v>89</v>
      </c>
      <c r="W100" s="3" t="s">
        <v>57</v>
      </c>
      <c r="X100" s="3" t="s">
        <v>58</v>
      </c>
      <c r="Y100" s="3" t="s">
        <v>59</v>
      </c>
      <c r="Z100" s="4">
        <v>7.0</v>
      </c>
      <c r="AA100" s="3" t="s">
        <v>193</v>
      </c>
      <c r="AB100" s="7">
        <v>41.0</v>
      </c>
      <c r="AC100" s="7">
        <v>23.0</v>
      </c>
      <c r="AD100" s="7">
        <v>18.0</v>
      </c>
      <c r="AE100" s="7">
        <v>41.0</v>
      </c>
      <c r="AF100" s="7">
        <v>23.0</v>
      </c>
      <c r="AG100" s="7">
        <v>18.0</v>
      </c>
      <c r="AH100" s="7">
        <v>6.0</v>
      </c>
      <c r="AI100" s="7">
        <v>0.0</v>
      </c>
      <c r="AJ100" s="7">
        <v>5.0</v>
      </c>
      <c r="AK100" s="7">
        <v>0.0</v>
      </c>
      <c r="AL100" s="7">
        <v>1.0</v>
      </c>
      <c r="AM100" s="7">
        <v>5.0</v>
      </c>
      <c r="AN100" s="8">
        <v>54.0</v>
      </c>
      <c r="AO100" s="4">
        <v>83.08</v>
      </c>
    </row>
    <row r="101">
      <c r="A101" s="3" t="s">
        <v>41</v>
      </c>
      <c r="B101" s="4">
        <v>40279.0</v>
      </c>
      <c r="C101" s="9">
        <v>46026.0</v>
      </c>
      <c r="D101" s="4" t="s">
        <v>43</v>
      </c>
      <c r="E101" s="3" t="s">
        <v>44</v>
      </c>
      <c r="F101" s="4">
        <v>82309.0</v>
      </c>
      <c r="G101" s="3" t="s">
        <v>401</v>
      </c>
      <c r="H101" s="3" t="s">
        <v>402</v>
      </c>
      <c r="I101" s="11">
        <v>4.92E9</v>
      </c>
      <c r="J101" s="5">
        <v>45835.428981481484</v>
      </c>
      <c r="K101" s="3" t="s">
        <v>47</v>
      </c>
      <c r="L101" s="3" t="s">
        <v>403</v>
      </c>
      <c r="M101" s="3" t="s">
        <v>404</v>
      </c>
      <c r="N101" s="3" t="s">
        <v>405</v>
      </c>
      <c r="O101" s="3" t="s">
        <v>406</v>
      </c>
      <c r="P101" s="6">
        <v>46027.0</v>
      </c>
      <c r="Q101" s="7" t="s">
        <v>66</v>
      </c>
      <c r="R101" s="4">
        <v>1792.0</v>
      </c>
      <c r="S101" s="3" t="s">
        <v>275</v>
      </c>
      <c r="T101" s="3" t="s">
        <v>54</v>
      </c>
      <c r="U101" s="3" t="s">
        <v>79</v>
      </c>
      <c r="V101" s="3" t="s">
        <v>69</v>
      </c>
      <c r="W101" s="3" t="s">
        <v>70</v>
      </c>
      <c r="X101" s="3" t="s">
        <v>58</v>
      </c>
      <c r="Y101" s="3" t="s">
        <v>59</v>
      </c>
      <c r="Z101" s="4">
        <v>8.0</v>
      </c>
      <c r="AA101" s="3" t="s">
        <v>60</v>
      </c>
      <c r="AB101" s="7">
        <v>333.0</v>
      </c>
      <c r="AC101" s="7">
        <v>0.0</v>
      </c>
      <c r="AD101" s="7">
        <v>333.0</v>
      </c>
      <c r="AE101" s="7">
        <v>117.0</v>
      </c>
      <c r="AF101" s="7">
        <v>0.0</v>
      </c>
      <c r="AG101" s="7">
        <v>117.0</v>
      </c>
      <c r="AH101" s="7">
        <v>8.0</v>
      </c>
      <c r="AI101" s="7">
        <v>0.0</v>
      </c>
      <c r="AJ101" s="7">
        <v>8.0</v>
      </c>
      <c r="AK101" s="7">
        <v>0.0</v>
      </c>
      <c r="AL101" s="7">
        <v>0.0</v>
      </c>
      <c r="AM101" s="7">
        <v>8.0</v>
      </c>
      <c r="AN101" s="8">
        <v>134.0</v>
      </c>
      <c r="AO101" s="4">
        <v>21.27</v>
      </c>
    </row>
    <row r="102">
      <c r="A102" s="3" t="s">
        <v>41</v>
      </c>
      <c r="B102" s="4">
        <v>40327.0</v>
      </c>
      <c r="C102" s="9">
        <v>46026.0</v>
      </c>
      <c r="D102" s="4" t="s">
        <v>43</v>
      </c>
      <c r="E102" s="3" t="s">
        <v>44</v>
      </c>
      <c r="F102" s="4">
        <v>89727.0</v>
      </c>
      <c r="G102" s="3" t="s">
        <v>407</v>
      </c>
      <c r="H102" s="3" t="s">
        <v>408</v>
      </c>
      <c r="I102" s="4">
        <v>9.642326664E9</v>
      </c>
      <c r="J102" s="5">
        <v>46134.52737268519</v>
      </c>
      <c r="K102" s="3" t="s">
        <v>124</v>
      </c>
      <c r="L102" s="3" t="s">
        <v>99</v>
      </c>
      <c r="M102" s="3" t="s">
        <v>100</v>
      </c>
      <c r="N102" s="3" t="s">
        <v>50</v>
      </c>
      <c r="O102" s="3" t="s">
        <v>51</v>
      </c>
      <c r="P102" s="6">
        <v>46117.0</v>
      </c>
      <c r="Q102" s="7" t="s">
        <v>125</v>
      </c>
      <c r="R102" s="4">
        <v>1782.0</v>
      </c>
      <c r="S102" s="3" t="s">
        <v>281</v>
      </c>
      <c r="T102" s="3" t="s">
        <v>54</v>
      </c>
      <c r="U102" s="3" t="s">
        <v>68</v>
      </c>
      <c r="V102" s="3" t="s">
        <v>69</v>
      </c>
      <c r="W102" s="3" t="s">
        <v>70</v>
      </c>
      <c r="X102" s="3" t="s">
        <v>58</v>
      </c>
      <c r="Y102" s="3" t="s">
        <v>59</v>
      </c>
      <c r="Z102" s="4">
        <v>7.0</v>
      </c>
      <c r="AA102" s="3" t="s">
        <v>146</v>
      </c>
      <c r="AB102" s="7">
        <v>112.0</v>
      </c>
      <c r="AC102" s="7">
        <v>0.0</v>
      </c>
      <c r="AD102" s="7">
        <v>112.0</v>
      </c>
      <c r="AE102" s="7">
        <v>74.0</v>
      </c>
      <c r="AF102" s="7">
        <v>0.0</v>
      </c>
      <c r="AG102" s="7">
        <v>74.0</v>
      </c>
      <c r="AH102" s="7">
        <v>8.0</v>
      </c>
      <c r="AI102" s="7">
        <v>0.0</v>
      </c>
      <c r="AJ102" s="7">
        <v>8.0</v>
      </c>
      <c r="AK102" s="7">
        <v>0.0</v>
      </c>
      <c r="AL102" s="7">
        <v>0.0</v>
      </c>
      <c r="AM102" s="7">
        <v>8.0</v>
      </c>
      <c r="AN102" s="8">
        <v>47.0</v>
      </c>
      <c r="AO102" s="4">
        <v>97.92</v>
      </c>
    </row>
    <row r="103">
      <c r="A103" s="3" t="s">
        <v>41</v>
      </c>
      <c r="B103" s="4">
        <v>40360.0</v>
      </c>
      <c r="C103" s="9">
        <v>46026.0</v>
      </c>
      <c r="D103" s="4" t="s">
        <v>43</v>
      </c>
      <c r="E103" s="3" t="s">
        <v>44</v>
      </c>
      <c r="F103" s="4">
        <v>74030.0</v>
      </c>
      <c r="G103" s="3" t="s">
        <v>409</v>
      </c>
      <c r="H103" s="3" t="s">
        <v>410</v>
      </c>
      <c r="I103" s="4">
        <v>9.810745899E9</v>
      </c>
      <c r="J103" s="5">
        <v>45481.45217592592</v>
      </c>
      <c r="K103" s="3" t="s">
        <v>47</v>
      </c>
      <c r="L103" s="3" t="s">
        <v>139</v>
      </c>
      <c r="M103" s="3" t="s">
        <v>140</v>
      </c>
      <c r="N103" s="3" t="s">
        <v>50</v>
      </c>
      <c r="O103" s="3" t="s">
        <v>51</v>
      </c>
      <c r="P103" s="6">
        <v>46178.0</v>
      </c>
      <c r="Q103" s="7" t="s">
        <v>77</v>
      </c>
      <c r="R103" s="4">
        <v>1793.0</v>
      </c>
      <c r="S103" s="3" t="s">
        <v>158</v>
      </c>
      <c r="T103" s="3" t="s">
        <v>54</v>
      </c>
      <c r="U103" s="3" t="s">
        <v>79</v>
      </c>
      <c r="V103" s="3" t="s">
        <v>69</v>
      </c>
      <c r="W103" s="3" t="s">
        <v>70</v>
      </c>
      <c r="X103" s="3" t="s">
        <v>58</v>
      </c>
      <c r="Y103" s="3" t="s">
        <v>59</v>
      </c>
      <c r="Z103" s="4">
        <v>8.0</v>
      </c>
      <c r="AA103" s="3" t="s">
        <v>80</v>
      </c>
      <c r="AB103" s="7">
        <v>100.0</v>
      </c>
      <c r="AC103" s="7">
        <v>0.0</v>
      </c>
      <c r="AD103" s="7">
        <v>100.0</v>
      </c>
      <c r="AE103" s="7">
        <v>66.0</v>
      </c>
      <c r="AF103" s="7">
        <v>0.0</v>
      </c>
      <c r="AG103" s="7">
        <v>66.0</v>
      </c>
      <c r="AH103" s="7">
        <v>8.0</v>
      </c>
      <c r="AI103" s="7">
        <v>0.0</v>
      </c>
      <c r="AJ103" s="7">
        <v>8.0</v>
      </c>
      <c r="AK103" s="7">
        <v>0.0</v>
      </c>
      <c r="AL103" s="7">
        <v>0.0</v>
      </c>
      <c r="AM103" s="7">
        <v>8.0</v>
      </c>
      <c r="AN103" s="8">
        <v>200.0</v>
      </c>
      <c r="AO103" s="4">
        <v>86.21</v>
      </c>
    </row>
    <row r="104">
      <c r="A104" s="3" t="s">
        <v>41</v>
      </c>
      <c r="B104" s="4">
        <v>40293.0</v>
      </c>
      <c r="C104" s="9">
        <v>46026.0</v>
      </c>
      <c r="D104" s="4" t="s">
        <v>43</v>
      </c>
      <c r="E104" s="3" t="s">
        <v>44</v>
      </c>
      <c r="F104" s="4">
        <v>89798.0</v>
      </c>
      <c r="G104" s="3" t="s">
        <v>411</v>
      </c>
      <c r="H104" s="3" t="s">
        <v>412</v>
      </c>
      <c r="I104" s="4">
        <v>9.811210436E9</v>
      </c>
      <c r="J104" s="5">
        <v>46134.64569444444</v>
      </c>
      <c r="K104" s="3" t="s">
        <v>124</v>
      </c>
      <c r="L104" s="3" t="s">
        <v>139</v>
      </c>
      <c r="M104" s="3" t="s">
        <v>140</v>
      </c>
      <c r="N104" s="3" t="s">
        <v>50</v>
      </c>
      <c r="O104" s="3" t="s">
        <v>51</v>
      </c>
      <c r="P104" s="6">
        <v>46117.0</v>
      </c>
      <c r="Q104" s="7" t="s">
        <v>125</v>
      </c>
      <c r="R104" s="4">
        <v>1777.0</v>
      </c>
      <c r="S104" s="3" t="s">
        <v>113</v>
      </c>
      <c r="T104" s="3" t="s">
        <v>54</v>
      </c>
      <c r="U104" s="3" t="s">
        <v>79</v>
      </c>
      <c r="V104" s="3" t="s">
        <v>69</v>
      </c>
      <c r="W104" s="3" t="s">
        <v>70</v>
      </c>
      <c r="X104" s="3" t="s">
        <v>58</v>
      </c>
      <c r="Y104" s="3" t="s">
        <v>59</v>
      </c>
      <c r="Z104" s="4">
        <v>7.0</v>
      </c>
      <c r="AA104" s="3" t="s">
        <v>146</v>
      </c>
      <c r="AB104" s="7">
        <v>84.0</v>
      </c>
      <c r="AC104" s="7">
        <v>0.0</v>
      </c>
      <c r="AD104" s="7">
        <v>84.0</v>
      </c>
      <c r="AE104" s="7">
        <v>50.0</v>
      </c>
      <c r="AF104" s="7">
        <v>0.0</v>
      </c>
      <c r="AG104" s="7">
        <v>50.0</v>
      </c>
      <c r="AH104" s="7">
        <v>8.0</v>
      </c>
      <c r="AI104" s="7">
        <v>0.0</v>
      </c>
      <c r="AJ104" s="7">
        <v>8.0</v>
      </c>
      <c r="AK104" s="7">
        <v>0.0</v>
      </c>
      <c r="AL104" s="7">
        <v>0.0</v>
      </c>
      <c r="AM104" s="7">
        <v>8.0</v>
      </c>
      <c r="AN104" s="8">
        <v>63.0</v>
      </c>
      <c r="AO104" s="4">
        <v>78.75</v>
      </c>
    </row>
    <row r="105">
      <c r="A105" s="3" t="s">
        <v>41</v>
      </c>
      <c r="B105" s="4">
        <v>40380.0</v>
      </c>
      <c r="C105" s="4" t="s">
        <v>42</v>
      </c>
      <c r="D105" s="4" t="s">
        <v>43</v>
      </c>
      <c r="E105" s="3" t="s">
        <v>44</v>
      </c>
      <c r="F105" s="4">
        <v>86198.0</v>
      </c>
      <c r="G105" s="3" t="s">
        <v>413</v>
      </c>
      <c r="H105" s="3" t="s">
        <v>414</v>
      </c>
      <c r="I105" s="4">
        <v>8.888543641E9</v>
      </c>
      <c r="J105" s="5">
        <v>45930.76447916667</v>
      </c>
      <c r="K105" s="3" t="s">
        <v>47</v>
      </c>
      <c r="L105" s="3" t="s">
        <v>415</v>
      </c>
      <c r="M105" s="3" t="s">
        <v>64</v>
      </c>
      <c r="N105" s="3" t="s">
        <v>50</v>
      </c>
      <c r="O105" s="3" t="s">
        <v>65</v>
      </c>
      <c r="P105" s="6">
        <v>46178.0</v>
      </c>
      <c r="Q105" s="7" t="s">
        <v>52</v>
      </c>
      <c r="R105" s="4">
        <v>1944.0</v>
      </c>
      <c r="S105" s="3" t="s">
        <v>332</v>
      </c>
      <c r="T105" s="3" t="s">
        <v>54</v>
      </c>
      <c r="U105" s="3" t="s">
        <v>108</v>
      </c>
      <c r="V105" s="3" t="s">
        <v>56</v>
      </c>
      <c r="W105" s="3" t="s">
        <v>57</v>
      </c>
      <c r="X105" s="3" t="s">
        <v>58</v>
      </c>
      <c r="Y105" s="3" t="s">
        <v>59</v>
      </c>
      <c r="Z105" s="4">
        <v>7.0</v>
      </c>
      <c r="AA105" s="3" t="s">
        <v>60</v>
      </c>
      <c r="AB105" s="7">
        <v>49.0</v>
      </c>
      <c r="AC105" s="7">
        <v>0.0</v>
      </c>
      <c r="AD105" s="7">
        <v>49.0</v>
      </c>
      <c r="AE105" s="7">
        <v>48.0</v>
      </c>
      <c r="AF105" s="7">
        <v>0.0</v>
      </c>
      <c r="AG105" s="7">
        <v>48.0</v>
      </c>
      <c r="AH105" s="7">
        <v>6.0</v>
      </c>
      <c r="AI105" s="7">
        <v>0.0</v>
      </c>
      <c r="AJ105" s="7">
        <v>1.0</v>
      </c>
      <c r="AK105" s="7">
        <v>5.0</v>
      </c>
      <c r="AL105" s="7">
        <v>0.0</v>
      </c>
      <c r="AM105" s="7">
        <v>6.0</v>
      </c>
      <c r="AN105" s="8">
        <v>119.0</v>
      </c>
      <c r="AO105" s="4">
        <v>72.56</v>
      </c>
    </row>
    <row r="106">
      <c r="A106" s="3" t="s">
        <v>41</v>
      </c>
      <c r="B106" s="4">
        <v>40255.0</v>
      </c>
      <c r="C106" s="9">
        <v>46026.0</v>
      </c>
      <c r="D106" s="4" t="s">
        <v>43</v>
      </c>
      <c r="E106" s="3" t="s">
        <v>44</v>
      </c>
      <c r="F106" s="4">
        <v>88681.0</v>
      </c>
      <c r="G106" s="3" t="s">
        <v>416</v>
      </c>
      <c r="H106" s="3" t="s">
        <v>417</v>
      </c>
      <c r="I106" s="4">
        <v>7.999306288E9</v>
      </c>
      <c r="J106" s="5">
        <v>46069.842673611114</v>
      </c>
      <c r="K106" s="3" t="s">
        <v>47</v>
      </c>
      <c r="L106" s="3" t="s">
        <v>418</v>
      </c>
      <c r="M106" s="3" t="s">
        <v>157</v>
      </c>
      <c r="N106" s="3" t="s">
        <v>50</v>
      </c>
      <c r="O106" s="3" t="s">
        <v>101</v>
      </c>
      <c r="P106" s="6">
        <v>46147.0</v>
      </c>
      <c r="Q106" s="7" t="s">
        <v>77</v>
      </c>
      <c r="R106" s="4">
        <v>1784.0</v>
      </c>
      <c r="S106" s="3" t="s">
        <v>342</v>
      </c>
      <c r="T106" s="3" t="s">
        <v>54</v>
      </c>
      <c r="U106" s="3" t="s">
        <v>79</v>
      </c>
      <c r="V106" s="3" t="s">
        <v>69</v>
      </c>
      <c r="W106" s="3" t="s">
        <v>70</v>
      </c>
      <c r="X106" s="3" t="s">
        <v>58</v>
      </c>
      <c r="Y106" s="3" t="s">
        <v>59</v>
      </c>
      <c r="Z106" s="4">
        <v>6.0</v>
      </c>
      <c r="AA106" s="3" t="s">
        <v>60</v>
      </c>
      <c r="AB106" s="7">
        <v>248.0</v>
      </c>
      <c r="AC106" s="7">
        <v>0.0</v>
      </c>
      <c r="AD106" s="7">
        <v>248.0</v>
      </c>
      <c r="AE106" s="7">
        <v>138.0</v>
      </c>
      <c r="AF106" s="7">
        <v>0.0</v>
      </c>
      <c r="AG106" s="7">
        <v>138.0</v>
      </c>
      <c r="AH106" s="7">
        <v>8.0</v>
      </c>
      <c r="AI106" s="7">
        <v>0.0</v>
      </c>
      <c r="AJ106" s="7">
        <v>8.0</v>
      </c>
      <c r="AK106" s="7">
        <v>0.0</v>
      </c>
      <c r="AL106" s="7">
        <v>0.0</v>
      </c>
      <c r="AM106" s="7">
        <v>8.0</v>
      </c>
      <c r="AN106" s="8">
        <v>80.0</v>
      </c>
      <c r="AO106" s="4">
        <v>100.0</v>
      </c>
    </row>
    <row r="107">
      <c r="A107" s="3" t="s">
        <v>41</v>
      </c>
      <c r="B107" s="4">
        <v>40280.0</v>
      </c>
      <c r="C107" s="9">
        <v>46026.0</v>
      </c>
      <c r="D107" s="4" t="s">
        <v>43</v>
      </c>
      <c r="E107" s="3" t="s">
        <v>44</v>
      </c>
      <c r="F107" s="4">
        <v>89735.0</v>
      </c>
      <c r="G107" s="3" t="s">
        <v>419</v>
      </c>
      <c r="H107" s="3" t="s">
        <v>420</v>
      </c>
      <c r="I107" s="4">
        <v>7.666004393E9</v>
      </c>
      <c r="J107" s="5">
        <v>46134.5303587963</v>
      </c>
      <c r="K107" s="3" t="s">
        <v>124</v>
      </c>
      <c r="L107" s="3" t="s">
        <v>84</v>
      </c>
      <c r="M107" s="3" t="s">
        <v>64</v>
      </c>
      <c r="N107" s="3" t="s">
        <v>50</v>
      </c>
      <c r="O107" s="3" t="s">
        <v>51</v>
      </c>
      <c r="P107" s="6">
        <v>46331.0</v>
      </c>
      <c r="Q107" s="7" t="s">
        <v>125</v>
      </c>
      <c r="R107" s="4">
        <v>1787.0</v>
      </c>
      <c r="S107" s="3" t="s">
        <v>78</v>
      </c>
      <c r="T107" s="3" t="s">
        <v>54</v>
      </c>
      <c r="U107" s="3" t="s">
        <v>79</v>
      </c>
      <c r="V107" s="3" t="s">
        <v>69</v>
      </c>
      <c r="W107" s="3" t="s">
        <v>70</v>
      </c>
      <c r="X107" s="3" t="s">
        <v>58</v>
      </c>
      <c r="Y107" s="3" t="s">
        <v>59</v>
      </c>
      <c r="Z107" s="4">
        <v>6.0</v>
      </c>
      <c r="AA107" s="3" t="s">
        <v>80</v>
      </c>
      <c r="AB107" s="7">
        <v>121.0</v>
      </c>
      <c r="AC107" s="7">
        <v>0.0</v>
      </c>
      <c r="AD107" s="7">
        <v>121.0</v>
      </c>
      <c r="AE107" s="7">
        <v>90.0</v>
      </c>
      <c r="AF107" s="7">
        <v>0.0</v>
      </c>
      <c r="AG107" s="7">
        <v>90.0</v>
      </c>
      <c r="AH107" s="7">
        <v>6.0</v>
      </c>
      <c r="AI107" s="7">
        <v>0.0</v>
      </c>
      <c r="AJ107" s="7">
        <v>6.0</v>
      </c>
      <c r="AK107" s="7">
        <v>0.0</v>
      </c>
      <c r="AL107" s="7">
        <v>0.0</v>
      </c>
      <c r="AM107" s="7">
        <v>6.0</v>
      </c>
      <c r="AN107" s="8">
        <v>148.0</v>
      </c>
      <c r="AO107" s="4">
        <v>98.67</v>
      </c>
    </row>
    <row r="108">
      <c r="A108" s="3" t="s">
        <v>41</v>
      </c>
      <c r="B108" s="4">
        <v>40350.0</v>
      </c>
      <c r="C108" s="9">
        <v>46026.0</v>
      </c>
      <c r="D108" s="4" t="s">
        <v>43</v>
      </c>
      <c r="E108" s="3" t="s">
        <v>44</v>
      </c>
      <c r="F108" s="4">
        <v>72221.0</v>
      </c>
      <c r="G108" s="3" t="s">
        <v>421</v>
      </c>
      <c r="H108" s="3" t="s">
        <v>422</v>
      </c>
      <c r="I108" s="4">
        <v>8.87681616E9</v>
      </c>
      <c r="J108" s="5">
        <v>45400.495300925926</v>
      </c>
      <c r="K108" s="3" t="s">
        <v>47</v>
      </c>
      <c r="L108" s="3" t="s">
        <v>423</v>
      </c>
      <c r="M108" s="3" t="s">
        <v>424</v>
      </c>
      <c r="N108" s="3" t="s">
        <v>50</v>
      </c>
      <c r="O108" s="3" t="s">
        <v>101</v>
      </c>
      <c r="P108" s="6">
        <v>46208.0</v>
      </c>
      <c r="Q108" s="7" t="s">
        <v>43</v>
      </c>
      <c r="R108" s="4">
        <v>1779.0</v>
      </c>
      <c r="S108" s="3" t="s">
        <v>300</v>
      </c>
      <c r="T108" s="3" t="s">
        <v>54</v>
      </c>
      <c r="U108" s="3" t="s">
        <v>68</v>
      </c>
      <c r="V108" s="3" t="s">
        <v>69</v>
      </c>
      <c r="W108" s="3" t="s">
        <v>70</v>
      </c>
      <c r="X108" s="3" t="s">
        <v>58</v>
      </c>
      <c r="Y108" s="3" t="s">
        <v>59</v>
      </c>
      <c r="Z108" s="4">
        <v>6.0</v>
      </c>
      <c r="AA108" s="3" t="s">
        <v>80</v>
      </c>
      <c r="AB108" s="7">
        <v>112.0</v>
      </c>
      <c r="AC108" s="7">
        <v>0.0</v>
      </c>
      <c r="AD108" s="7">
        <v>112.0</v>
      </c>
      <c r="AE108" s="7">
        <v>76.0</v>
      </c>
      <c r="AF108" s="7">
        <v>0.0</v>
      </c>
      <c r="AG108" s="7">
        <v>76.0</v>
      </c>
      <c r="AH108" s="7">
        <v>8.0</v>
      </c>
      <c r="AI108" s="7">
        <v>0.0</v>
      </c>
      <c r="AJ108" s="7">
        <v>8.0</v>
      </c>
      <c r="AK108" s="7">
        <v>0.0</v>
      </c>
      <c r="AL108" s="7">
        <v>0.0</v>
      </c>
      <c r="AM108" s="7">
        <v>8.0</v>
      </c>
      <c r="AN108" s="8">
        <v>240.0</v>
      </c>
      <c r="AO108" s="4">
        <v>100.0</v>
      </c>
    </row>
    <row r="109">
      <c r="A109" s="3" t="s">
        <v>41</v>
      </c>
      <c r="B109" s="4">
        <v>40414.0</v>
      </c>
      <c r="C109" s="4" t="s">
        <v>127</v>
      </c>
      <c r="D109" s="4" t="s">
        <v>128</v>
      </c>
      <c r="E109" s="3" t="s">
        <v>44</v>
      </c>
      <c r="F109" s="4">
        <v>83107.0</v>
      </c>
      <c r="G109" s="3" t="s">
        <v>425</v>
      </c>
      <c r="H109" s="3" t="s">
        <v>426</v>
      </c>
      <c r="I109" s="4">
        <v>9.099956169E9</v>
      </c>
      <c r="J109" s="5">
        <v>45848.46466435185</v>
      </c>
      <c r="K109" s="3" t="s">
        <v>208</v>
      </c>
      <c r="L109" s="3" t="s">
        <v>427</v>
      </c>
      <c r="M109" s="3" t="s">
        <v>150</v>
      </c>
      <c r="N109" s="3" t="s">
        <v>50</v>
      </c>
      <c r="O109" s="3" t="s">
        <v>51</v>
      </c>
      <c r="P109" s="6">
        <v>46147.0</v>
      </c>
      <c r="Q109" s="7" t="s">
        <v>118</v>
      </c>
      <c r="R109" s="4">
        <v>125.0</v>
      </c>
      <c r="S109" s="3" t="s">
        <v>240</v>
      </c>
      <c r="T109" s="3" t="s">
        <v>135</v>
      </c>
      <c r="U109" s="3" t="s">
        <v>164</v>
      </c>
      <c r="V109" s="3" t="s">
        <v>56</v>
      </c>
      <c r="W109" s="3" t="s">
        <v>57</v>
      </c>
      <c r="X109" s="3" t="s">
        <v>58</v>
      </c>
      <c r="Y109" s="3" t="s">
        <v>59</v>
      </c>
      <c r="Z109" s="4">
        <v>8.0</v>
      </c>
      <c r="AA109" s="3" t="s">
        <v>60</v>
      </c>
      <c r="AB109" s="7">
        <v>66.0</v>
      </c>
      <c r="AC109" s="7">
        <v>0.0</v>
      </c>
      <c r="AD109" s="7">
        <v>66.0</v>
      </c>
      <c r="AE109" s="7">
        <v>66.0</v>
      </c>
      <c r="AF109" s="7">
        <v>0.0</v>
      </c>
      <c r="AG109" s="7">
        <v>66.0</v>
      </c>
      <c r="AH109" s="7">
        <v>5.0</v>
      </c>
      <c r="AI109" s="7">
        <v>0.0</v>
      </c>
      <c r="AJ109" s="7">
        <v>5.0</v>
      </c>
      <c r="AK109" s="7">
        <v>0.0</v>
      </c>
      <c r="AL109" s="7">
        <v>0.0</v>
      </c>
      <c r="AM109" s="7">
        <v>5.0</v>
      </c>
      <c r="AN109" s="8">
        <v>166.0</v>
      </c>
      <c r="AO109" s="4">
        <v>94.86</v>
      </c>
    </row>
    <row r="110">
      <c r="A110" s="3" t="s">
        <v>41</v>
      </c>
      <c r="B110" s="4">
        <v>40416.0</v>
      </c>
      <c r="C110" s="4" t="s">
        <v>127</v>
      </c>
      <c r="D110" s="4" t="s">
        <v>128</v>
      </c>
      <c r="E110" s="3" t="s">
        <v>44</v>
      </c>
      <c r="F110" s="4">
        <v>83107.0</v>
      </c>
      <c r="G110" s="3" t="s">
        <v>425</v>
      </c>
      <c r="H110" s="3" t="s">
        <v>426</v>
      </c>
      <c r="I110" s="4">
        <v>9.099956169E9</v>
      </c>
      <c r="J110" s="5">
        <v>45848.46466435185</v>
      </c>
      <c r="K110" s="3" t="s">
        <v>208</v>
      </c>
      <c r="L110" s="3" t="s">
        <v>427</v>
      </c>
      <c r="M110" s="3" t="s">
        <v>150</v>
      </c>
      <c r="N110" s="3" t="s">
        <v>50</v>
      </c>
      <c r="O110" s="3" t="s">
        <v>51</v>
      </c>
      <c r="P110" s="6">
        <v>46147.0</v>
      </c>
      <c r="Q110" s="7" t="s">
        <v>118</v>
      </c>
      <c r="R110" s="4">
        <v>126.0</v>
      </c>
      <c r="S110" s="3" t="s">
        <v>241</v>
      </c>
      <c r="T110" s="3" t="s">
        <v>135</v>
      </c>
      <c r="U110" s="3" t="s">
        <v>164</v>
      </c>
      <c r="V110" s="3" t="s">
        <v>56</v>
      </c>
      <c r="W110" s="3" t="s">
        <v>57</v>
      </c>
      <c r="X110" s="3" t="s">
        <v>58</v>
      </c>
      <c r="Y110" s="3" t="s">
        <v>59</v>
      </c>
      <c r="Z110" s="4">
        <v>8.0</v>
      </c>
      <c r="AA110" s="3" t="s">
        <v>60</v>
      </c>
      <c r="AB110" s="7">
        <v>81.0</v>
      </c>
      <c r="AC110" s="7">
        <v>0.0</v>
      </c>
      <c r="AD110" s="7">
        <v>81.0</v>
      </c>
      <c r="AE110" s="7">
        <v>80.0</v>
      </c>
      <c r="AF110" s="7">
        <v>0.0</v>
      </c>
      <c r="AG110" s="7">
        <v>80.0</v>
      </c>
      <c r="AH110" s="7">
        <v>5.0</v>
      </c>
      <c r="AI110" s="7">
        <v>0.0</v>
      </c>
      <c r="AJ110" s="7">
        <v>5.0</v>
      </c>
      <c r="AK110" s="7">
        <v>0.0</v>
      </c>
      <c r="AL110" s="7">
        <v>0.0</v>
      </c>
      <c r="AM110" s="7">
        <v>5.0</v>
      </c>
      <c r="AN110" s="8">
        <v>188.0</v>
      </c>
      <c r="AO110" s="4">
        <v>94.0</v>
      </c>
    </row>
    <row r="111">
      <c r="A111" s="3" t="s">
        <v>41</v>
      </c>
      <c r="B111" s="4">
        <v>40430.0</v>
      </c>
      <c r="C111" s="4" t="s">
        <v>428</v>
      </c>
      <c r="D111" s="4" t="s">
        <v>91</v>
      </c>
      <c r="E111" s="3" t="s">
        <v>44</v>
      </c>
      <c r="F111" s="4">
        <v>59903.0</v>
      </c>
      <c r="G111" s="3" t="s">
        <v>429</v>
      </c>
      <c r="H111" s="3" t="s">
        <v>430</v>
      </c>
      <c r="I111" s="4">
        <v>6.392086082E9</v>
      </c>
      <c r="J111" s="5">
        <v>44811.35487268519</v>
      </c>
      <c r="K111" s="3" t="s">
        <v>431</v>
      </c>
      <c r="L111" s="3" t="s">
        <v>84</v>
      </c>
      <c r="M111" s="3" t="s">
        <v>64</v>
      </c>
      <c r="N111" s="3" t="s">
        <v>50</v>
      </c>
      <c r="O111" s="12"/>
      <c r="P111" s="6">
        <v>46117.0</v>
      </c>
      <c r="Q111" s="7" t="s">
        <v>106</v>
      </c>
      <c r="R111" s="4">
        <v>1324.0</v>
      </c>
      <c r="S111" s="3" t="s">
        <v>432</v>
      </c>
      <c r="T111" s="3" t="s">
        <v>64</v>
      </c>
      <c r="V111" s="12"/>
      <c r="W111" s="3" t="s">
        <v>57</v>
      </c>
      <c r="X111" s="3" t="s">
        <v>433</v>
      </c>
      <c r="Y111" s="3" t="s">
        <v>434</v>
      </c>
      <c r="Z111" s="4">
        <v>6.0</v>
      </c>
      <c r="AA111" s="3" t="s">
        <v>90</v>
      </c>
      <c r="AB111" s="7">
        <v>65.0</v>
      </c>
      <c r="AC111" s="7">
        <v>28.0</v>
      </c>
      <c r="AD111" s="7">
        <v>37.0</v>
      </c>
      <c r="AE111" s="7">
        <v>31.0</v>
      </c>
      <c r="AF111" s="7">
        <v>18.0</v>
      </c>
      <c r="AG111" s="7">
        <v>13.0</v>
      </c>
      <c r="AH111" s="7">
        <v>8.0</v>
      </c>
      <c r="AI111" s="7">
        <v>0.0</v>
      </c>
      <c r="AJ111" s="7">
        <v>8.0</v>
      </c>
      <c r="AK111" s="7">
        <v>0.0</v>
      </c>
      <c r="AL111" s="7">
        <v>0.0</v>
      </c>
      <c r="AM111" s="7">
        <v>8.0</v>
      </c>
      <c r="AN111" s="4">
        <v>130.0</v>
      </c>
      <c r="AO111" s="4">
        <v>60.19</v>
      </c>
    </row>
    <row r="112">
      <c r="A112" s="3" t="s">
        <v>41</v>
      </c>
      <c r="B112" s="4">
        <v>40431.0</v>
      </c>
      <c r="C112" s="4" t="s">
        <v>428</v>
      </c>
      <c r="D112" s="4" t="s">
        <v>91</v>
      </c>
      <c r="E112" s="3" t="s">
        <v>44</v>
      </c>
      <c r="F112" s="4">
        <v>59903.0</v>
      </c>
      <c r="G112" s="3" t="s">
        <v>429</v>
      </c>
      <c r="H112" s="3" t="s">
        <v>430</v>
      </c>
      <c r="I112" s="4">
        <v>6.392086082E9</v>
      </c>
      <c r="J112" s="5">
        <v>44811.35487268519</v>
      </c>
      <c r="K112" s="3" t="s">
        <v>431</v>
      </c>
      <c r="L112" s="3" t="s">
        <v>84</v>
      </c>
      <c r="M112" s="3" t="s">
        <v>64</v>
      </c>
      <c r="N112" s="3" t="s">
        <v>50</v>
      </c>
      <c r="O112" s="12"/>
      <c r="P112" s="6">
        <v>46178.0</v>
      </c>
      <c r="Q112" s="7" t="s">
        <v>77</v>
      </c>
      <c r="R112" s="4">
        <v>1324.0</v>
      </c>
      <c r="S112" s="3" t="s">
        <v>432</v>
      </c>
      <c r="T112" s="3" t="s">
        <v>64</v>
      </c>
      <c r="V112" s="12"/>
      <c r="W112" s="3" t="s">
        <v>57</v>
      </c>
      <c r="X112" s="3" t="s">
        <v>433</v>
      </c>
      <c r="Y112" s="3" t="s">
        <v>59</v>
      </c>
      <c r="Z112" s="4">
        <v>6.0</v>
      </c>
      <c r="AA112" s="3" t="s">
        <v>234</v>
      </c>
      <c r="AB112" s="7">
        <v>65.0</v>
      </c>
      <c r="AC112" s="7">
        <v>28.0</v>
      </c>
      <c r="AD112" s="7">
        <v>37.0</v>
      </c>
      <c r="AE112" s="7">
        <v>31.0</v>
      </c>
      <c r="AF112" s="7">
        <v>18.0</v>
      </c>
      <c r="AG112" s="7">
        <v>13.0</v>
      </c>
      <c r="AH112" s="7">
        <v>8.0</v>
      </c>
      <c r="AI112" s="7">
        <v>0.0</v>
      </c>
      <c r="AJ112" s="7">
        <v>8.0</v>
      </c>
      <c r="AK112" s="7">
        <v>0.0</v>
      </c>
      <c r="AL112" s="7">
        <v>0.0</v>
      </c>
      <c r="AM112" s="7">
        <v>8.0</v>
      </c>
      <c r="AN112" s="4">
        <v>173.0</v>
      </c>
      <c r="AO112" s="4">
        <v>54.63</v>
      </c>
    </row>
    <row r="113">
      <c r="A113" s="3" t="s">
        <v>41</v>
      </c>
      <c r="B113" s="4">
        <v>40432.0</v>
      </c>
      <c r="C113" s="4" t="s">
        <v>428</v>
      </c>
      <c r="D113" s="4" t="s">
        <v>91</v>
      </c>
      <c r="E113" s="3" t="s">
        <v>44</v>
      </c>
      <c r="F113" s="4">
        <v>59903.0</v>
      </c>
      <c r="G113" s="3" t="s">
        <v>429</v>
      </c>
      <c r="H113" s="3" t="s">
        <v>430</v>
      </c>
      <c r="I113" s="4">
        <v>6.392086082E9</v>
      </c>
      <c r="J113" s="5">
        <v>44811.35487268519</v>
      </c>
      <c r="K113" s="3" t="s">
        <v>431</v>
      </c>
      <c r="L113" s="3" t="s">
        <v>84</v>
      </c>
      <c r="M113" s="3" t="s">
        <v>64</v>
      </c>
      <c r="N113" s="3" t="s">
        <v>50</v>
      </c>
      <c r="O113" s="12"/>
      <c r="P113" s="6">
        <v>46027.0</v>
      </c>
      <c r="Q113" s="7" t="s">
        <v>43</v>
      </c>
      <c r="R113" s="4">
        <v>1324.0</v>
      </c>
      <c r="S113" s="3" t="s">
        <v>432</v>
      </c>
      <c r="T113" s="3" t="s">
        <v>64</v>
      </c>
      <c r="V113" s="12"/>
      <c r="W113" s="3" t="s">
        <v>57</v>
      </c>
      <c r="X113" s="3" t="s">
        <v>433</v>
      </c>
      <c r="Y113" s="3" t="s">
        <v>434</v>
      </c>
      <c r="Z113" s="4">
        <v>6.0</v>
      </c>
      <c r="AA113" s="3" t="s">
        <v>193</v>
      </c>
      <c r="AB113" s="7">
        <v>65.0</v>
      </c>
      <c r="AC113" s="7">
        <v>28.0</v>
      </c>
      <c r="AD113" s="7">
        <v>37.0</v>
      </c>
      <c r="AE113" s="7">
        <v>31.0</v>
      </c>
      <c r="AF113" s="7">
        <v>18.0</v>
      </c>
      <c r="AG113" s="7">
        <v>13.0</v>
      </c>
      <c r="AH113" s="7">
        <v>10.0</v>
      </c>
      <c r="AI113" s="7">
        <v>0.0</v>
      </c>
      <c r="AJ113" s="7">
        <v>10.0</v>
      </c>
      <c r="AK113" s="7">
        <v>0.0</v>
      </c>
      <c r="AL113" s="7">
        <v>0.0</v>
      </c>
      <c r="AM113" s="7">
        <v>10.0</v>
      </c>
      <c r="AN113" s="4">
        <v>118.0</v>
      </c>
      <c r="AO113" s="4">
        <v>64.07</v>
      </c>
    </row>
    <row r="114">
      <c r="A114" s="3" t="s">
        <v>41</v>
      </c>
      <c r="B114" s="4">
        <v>40433.0</v>
      </c>
      <c r="C114" s="4" t="s">
        <v>428</v>
      </c>
      <c r="D114" s="4" t="s">
        <v>91</v>
      </c>
      <c r="E114" s="3" t="s">
        <v>44</v>
      </c>
      <c r="F114" s="4">
        <v>59903.0</v>
      </c>
      <c r="G114" s="3" t="s">
        <v>429</v>
      </c>
      <c r="H114" s="3" t="s">
        <v>430</v>
      </c>
      <c r="I114" s="4">
        <v>6.392086082E9</v>
      </c>
      <c r="J114" s="5">
        <v>44811.35487268519</v>
      </c>
      <c r="K114" s="3" t="s">
        <v>431</v>
      </c>
      <c r="L114" s="3" t="s">
        <v>84</v>
      </c>
      <c r="M114" s="3" t="s">
        <v>64</v>
      </c>
      <c r="N114" s="3" t="s">
        <v>50</v>
      </c>
      <c r="O114" s="12"/>
      <c r="P114" s="6">
        <v>46117.0</v>
      </c>
      <c r="Q114" s="7" t="s">
        <v>106</v>
      </c>
      <c r="R114" s="4">
        <v>1324.0</v>
      </c>
      <c r="S114" s="3" t="s">
        <v>432</v>
      </c>
      <c r="T114" s="3" t="s">
        <v>64</v>
      </c>
      <c r="V114" s="12"/>
      <c r="W114" s="3" t="s">
        <v>57</v>
      </c>
      <c r="X114" s="3" t="s">
        <v>433</v>
      </c>
      <c r="Y114" s="3" t="s">
        <v>59</v>
      </c>
      <c r="Z114" s="4">
        <v>7.0</v>
      </c>
      <c r="AA114" s="3" t="s">
        <v>234</v>
      </c>
      <c r="AB114" s="7">
        <v>65.0</v>
      </c>
      <c r="AC114" s="7">
        <v>28.0</v>
      </c>
      <c r="AD114" s="7">
        <v>37.0</v>
      </c>
      <c r="AE114" s="7">
        <v>31.0</v>
      </c>
      <c r="AF114" s="7">
        <v>18.0</v>
      </c>
      <c r="AG114" s="7">
        <v>13.0</v>
      </c>
      <c r="AH114" s="7">
        <v>8.0</v>
      </c>
      <c r="AI114" s="7">
        <v>0.0</v>
      </c>
      <c r="AJ114" s="7">
        <v>8.0</v>
      </c>
      <c r="AK114" s="7">
        <v>0.0</v>
      </c>
      <c r="AL114" s="7">
        <v>0.0</v>
      </c>
      <c r="AM114" s="7">
        <v>8.0</v>
      </c>
      <c r="AN114" s="4">
        <v>31.0</v>
      </c>
      <c r="AO114" s="4">
        <v>96.88</v>
      </c>
    </row>
    <row r="115">
      <c r="A115" s="3" t="s">
        <v>41</v>
      </c>
      <c r="B115" s="4">
        <v>40434.0</v>
      </c>
      <c r="C115" s="4" t="s">
        <v>428</v>
      </c>
      <c r="D115" s="4" t="s">
        <v>91</v>
      </c>
      <c r="E115" s="3" t="s">
        <v>44</v>
      </c>
      <c r="F115" s="4">
        <v>59903.0</v>
      </c>
      <c r="G115" s="3" t="s">
        <v>429</v>
      </c>
      <c r="H115" s="3" t="s">
        <v>430</v>
      </c>
      <c r="I115" s="4">
        <v>6.392086082E9</v>
      </c>
      <c r="J115" s="5">
        <v>44811.35487268519</v>
      </c>
      <c r="K115" s="3" t="s">
        <v>431</v>
      </c>
      <c r="L115" s="3" t="s">
        <v>84</v>
      </c>
      <c r="M115" s="3" t="s">
        <v>64</v>
      </c>
      <c r="N115" s="3" t="s">
        <v>50</v>
      </c>
      <c r="O115" s="12"/>
      <c r="P115" s="6">
        <v>46178.0</v>
      </c>
      <c r="Q115" s="7" t="s">
        <v>77</v>
      </c>
      <c r="R115" s="4">
        <v>1324.0</v>
      </c>
      <c r="S115" s="3" t="s">
        <v>432</v>
      </c>
      <c r="T115" s="3" t="s">
        <v>64</v>
      </c>
      <c r="V115" s="12"/>
      <c r="W115" s="3" t="s">
        <v>57</v>
      </c>
      <c r="X115" s="3" t="s">
        <v>433</v>
      </c>
      <c r="Y115" s="3" t="s">
        <v>434</v>
      </c>
      <c r="Z115" s="4">
        <v>7.0</v>
      </c>
      <c r="AA115" s="3" t="s">
        <v>90</v>
      </c>
      <c r="AB115" s="7">
        <v>65.0</v>
      </c>
      <c r="AC115" s="7">
        <v>28.0</v>
      </c>
      <c r="AD115" s="7">
        <v>37.0</v>
      </c>
      <c r="AE115" s="7">
        <v>31.0</v>
      </c>
      <c r="AF115" s="7">
        <v>18.0</v>
      </c>
      <c r="AG115" s="7">
        <v>13.0</v>
      </c>
      <c r="AH115" s="7">
        <v>8.0</v>
      </c>
      <c r="AI115" s="7">
        <v>0.0</v>
      </c>
      <c r="AJ115" s="7">
        <v>8.0</v>
      </c>
      <c r="AK115" s="7">
        <v>0.0</v>
      </c>
      <c r="AL115" s="7">
        <v>0.0</v>
      </c>
      <c r="AM115" s="7">
        <v>8.0</v>
      </c>
      <c r="AN115" s="4">
        <v>30.0</v>
      </c>
      <c r="AO115" s="4">
        <v>93.75</v>
      </c>
    </row>
    <row r="116">
      <c r="A116" s="3" t="s">
        <v>41</v>
      </c>
      <c r="B116" s="4">
        <v>40435.0</v>
      </c>
      <c r="C116" s="4" t="s">
        <v>428</v>
      </c>
      <c r="D116" s="4" t="s">
        <v>91</v>
      </c>
      <c r="E116" s="3" t="s">
        <v>44</v>
      </c>
      <c r="F116" s="4">
        <v>59903.0</v>
      </c>
      <c r="G116" s="3" t="s">
        <v>429</v>
      </c>
      <c r="H116" s="3" t="s">
        <v>430</v>
      </c>
      <c r="I116" s="4">
        <v>6.392086082E9</v>
      </c>
      <c r="J116" s="5">
        <v>44811.35487268519</v>
      </c>
      <c r="K116" s="3" t="s">
        <v>431</v>
      </c>
      <c r="L116" s="3" t="s">
        <v>84</v>
      </c>
      <c r="M116" s="3" t="s">
        <v>64</v>
      </c>
      <c r="N116" s="3" t="s">
        <v>50</v>
      </c>
      <c r="O116" s="12"/>
      <c r="P116" s="6">
        <v>46027.0</v>
      </c>
      <c r="Q116" s="7" t="s">
        <v>43</v>
      </c>
      <c r="R116" s="4">
        <v>1324.0</v>
      </c>
      <c r="S116" s="3" t="s">
        <v>432</v>
      </c>
      <c r="T116" s="3" t="s">
        <v>64</v>
      </c>
      <c r="V116" s="12"/>
      <c r="W116" s="3" t="s">
        <v>57</v>
      </c>
      <c r="X116" s="3" t="s">
        <v>433</v>
      </c>
      <c r="Y116" s="3" t="s">
        <v>434</v>
      </c>
      <c r="Z116" s="4">
        <v>7.0</v>
      </c>
      <c r="AA116" s="3" t="s">
        <v>193</v>
      </c>
      <c r="AB116" s="7">
        <v>65.0</v>
      </c>
      <c r="AC116" s="7">
        <v>28.0</v>
      </c>
      <c r="AD116" s="7">
        <v>37.0</v>
      </c>
      <c r="AE116" s="7">
        <v>31.0</v>
      </c>
      <c r="AF116" s="7">
        <v>18.0</v>
      </c>
      <c r="AG116" s="7">
        <v>13.0</v>
      </c>
      <c r="AH116" s="7">
        <v>10.0</v>
      </c>
      <c r="AI116" s="7">
        <v>0.0</v>
      </c>
      <c r="AJ116" s="7">
        <v>10.0</v>
      </c>
      <c r="AK116" s="7">
        <v>0.0</v>
      </c>
      <c r="AL116" s="7">
        <v>0.0</v>
      </c>
      <c r="AM116" s="7">
        <v>10.0</v>
      </c>
      <c r="AN116" s="4">
        <v>37.0</v>
      </c>
      <c r="AO116" s="4">
        <v>92.5</v>
      </c>
    </row>
    <row r="117">
      <c r="A117" s="3" t="s">
        <v>41</v>
      </c>
      <c r="B117" s="4">
        <v>40251.0</v>
      </c>
      <c r="C117" s="9">
        <v>46026.0</v>
      </c>
      <c r="D117" s="4" t="s">
        <v>43</v>
      </c>
      <c r="E117" s="3" t="s">
        <v>44</v>
      </c>
      <c r="F117" s="4">
        <v>73653.0</v>
      </c>
      <c r="G117" s="3" t="s">
        <v>435</v>
      </c>
      <c r="H117" s="3" t="s">
        <v>436</v>
      </c>
      <c r="I117" s="4">
        <v>9.984738014E9</v>
      </c>
      <c r="J117" s="5">
        <v>45473.56722222222</v>
      </c>
      <c r="K117" s="3" t="s">
        <v>201</v>
      </c>
      <c r="L117" s="3" t="s">
        <v>202</v>
      </c>
      <c r="M117" s="3" t="s">
        <v>54</v>
      </c>
      <c r="N117" s="3" t="s">
        <v>50</v>
      </c>
      <c r="O117" s="3" t="s">
        <v>101</v>
      </c>
      <c r="P117" s="6">
        <v>46239.0</v>
      </c>
      <c r="Q117" s="7" t="s">
        <v>66</v>
      </c>
      <c r="R117" s="4">
        <v>1785.0</v>
      </c>
      <c r="S117" s="3" t="s">
        <v>209</v>
      </c>
      <c r="T117" s="3" t="s">
        <v>54</v>
      </c>
      <c r="U117" s="3" t="s">
        <v>79</v>
      </c>
      <c r="V117" s="3" t="s">
        <v>69</v>
      </c>
      <c r="W117" s="3" t="s">
        <v>70</v>
      </c>
      <c r="X117" s="3" t="s">
        <v>58</v>
      </c>
      <c r="Y117" s="3" t="s">
        <v>59</v>
      </c>
      <c r="Z117" s="4">
        <v>8.0</v>
      </c>
      <c r="AA117" s="3" t="s">
        <v>60</v>
      </c>
      <c r="AB117" s="7">
        <v>112.0</v>
      </c>
      <c r="AC117" s="7">
        <v>0.0</v>
      </c>
      <c r="AD117" s="7">
        <v>112.0</v>
      </c>
      <c r="AE117" s="7">
        <v>75.0</v>
      </c>
      <c r="AF117" s="7">
        <v>0.0</v>
      </c>
      <c r="AG117" s="7">
        <v>75.0</v>
      </c>
      <c r="AH117" s="7">
        <v>6.0</v>
      </c>
      <c r="AI117" s="7">
        <v>0.0</v>
      </c>
      <c r="AJ117" s="7">
        <v>6.0</v>
      </c>
      <c r="AK117" s="7">
        <v>0.0</v>
      </c>
      <c r="AL117" s="7">
        <v>0.0</v>
      </c>
      <c r="AM117" s="7">
        <v>6.0</v>
      </c>
      <c r="AN117" s="8">
        <v>143.0</v>
      </c>
      <c r="AO117" s="4">
        <v>70.1</v>
      </c>
    </row>
    <row r="118">
      <c r="A118" s="3" t="s">
        <v>41</v>
      </c>
      <c r="B118" s="4">
        <v>40389.0</v>
      </c>
      <c r="C118" s="4" t="s">
        <v>127</v>
      </c>
      <c r="D118" s="4" t="s">
        <v>128</v>
      </c>
      <c r="E118" s="3" t="s">
        <v>44</v>
      </c>
      <c r="F118" s="4">
        <v>74909.0</v>
      </c>
      <c r="G118" s="3" t="s">
        <v>437</v>
      </c>
      <c r="H118" s="3" t="s">
        <v>438</v>
      </c>
      <c r="I118" s="4">
        <v>7.488963348E9</v>
      </c>
      <c r="J118" s="5">
        <v>45495.876759259256</v>
      </c>
      <c r="K118" s="3" t="s">
        <v>439</v>
      </c>
      <c r="L118" s="3" t="s">
        <v>440</v>
      </c>
      <c r="M118" s="3" t="s">
        <v>135</v>
      </c>
      <c r="N118" s="3" t="s">
        <v>50</v>
      </c>
      <c r="O118" s="3" t="s">
        <v>51</v>
      </c>
      <c r="P118" s="6">
        <v>46147.0</v>
      </c>
      <c r="Q118" s="7" t="s">
        <v>118</v>
      </c>
      <c r="R118" s="4">
        <v>82.0</v>
      </c>
      <c r="S118" s="3" t="s">
        <v>357</v>
      </c>
      <c r="T118" s="3" t="s">
        <v>135</v>
      </c>
      <c r="U118" s="3" t="s">
        <v>136</v>
      </c>
      <c r="V118" s="3" t="s">
        <v>56</v>
      </c>
      <c r="W118" s="3" t="s">
        <v>57</v>
      </c>
      <c r="X118" s="3" t="s">
        <v>58</v>
      </c>
      <c r="Y118" s="3" t="s">
        <v>59</v>
      </c>
      <c r="Z118" s="4">
        <v>8.0</v>
      </c>
      <c r="AA118" s="3" t="s">
        <v>60</v>
      </c>
      <c r="AB118" s="7">
        <v>68.0</v>
      </c>
      <c r="AC118" s="7">
        <v>0.0</v>
      </c>
      <c r="AD118" s="7">
        <v>68.0</v>
      </c>
      <c r="AE118" s="7">
        <v>67.0</v>
      </c>
      <c r="AF118" s="7">
        <v>0.0</v>
      </c>
      <c r="AG118" s="7">
        <v>67.0</v>
      </c>
      <c r="AH118" s="7">
        <v>5.0</v>
      </c>
      <c r="AI118" s="7">
        <v>0.0</v>
      </c>
      <c r="AJ118" s="7">
        <v>3.0</v>
      </c>
      <c r="AK118" s="7">
        <v>2.0</v>
      </c>
      <c r="AL118" s="7">
        <v>0.0</v>
      </c>
      <c r="AM118" s="7">
        <v>5.0</v>
      </c>
      <c r="AN118" s="8">
        <v>169.0</v>
      </c>
      <c r="AO118" s="4">
        <v>96.57</v>
      </c>
    </row>
    <row r="119">
      <c r="A119" s="3" t="s">
        <v>41</v>
      </c>
      <c r="B119" s="4">
        <v>40391.0</v>
      </c>
      <c r="C119" s="4" t="s">
        <v>127</v>
      </c>
      <c r="D119" s="4" t="s">
        <v>128</v>
      </c>
      <c r="E119" s="3" t="s">
        <v>44</v>
      </c>
      <c r="F119" s="4">
        <v>74909.0</v>
      </c>
      <c r="G119" s="3" t="s">
        <v>437</v>
      </c>
      <c r="H119" s="3" t="s">
        <v>438</v>
      </c>
      <c r="I119" s="4">
        <v>7.488963348E9</v>
      </c>
      <c r="J119" s="5">
        <v>45495.876759259256</v>
      </c>
      <c r="K119" s="3" t="s">
        <v>439</v>
      </c>
      <c r="L119" s="3" t="s">
        <v>440</v>
      </c>
      <c r="M119" s="3" t="s">
        <v>135</v>
      </c>
      <c r="N119" s="3" t="s">
        <v>50</v>
      </c>
      <c r="O119" s="3" t="s">
        <v>51</v>
      </c>
      <c r="P119" s="6">
        <v>46147.0</v>
      </c>
      <c r="Q119" s="7" t="s">
        <v>118</v>
      </c>
      <c r="R119" s="4">
        <v>83.0</v>
      </c>
      <c r="S119" s="3" t="s">
        <v>358</v>
      </c>
      <c r="T119" s="3" t="s">
        <v>135</v>
      </c>
      <c r="U119" s="3" t="s">
        <v>136</v>
      </c>
      <c r="V119" s="3" t="s">
        <v>56</v>
      </c>
      <c r="W119" s="3" t="s">
        <v>57</v>
      </c>
      <c r="X119" s="3" t="s">
        <v>58</v>
      </c>
      <c r="Y119" s="3" t="s">
        <v>59</v>
      </c>
      <c r="Z119" s="4">
        <v>8.0</v>
      </c>
      <c r="AA119" s="3" t="s">
        <v>60</v>
      </c>
      <c r="AB119" s="7">
        <v>40.0</v>
      </c>
      <c r="AC119" s="7">
        <v>0.0</v>
      </c>
      <c r="AD119" s="7">
        <v>40.0</v>
      </c>
      <c r="AE119" s="7">
        <v>40.0</v>
      </c>
      <c r="AF119" s="7">
        <v>0.0</v>
      </c>
      <c r="AG119" s="7">
        <v>40.0</v>
      </c>
      <c r="AH119" s="7">
        <v>5.0</v>
      </c>
      <c r="AI119" s="7">
        <v>0.0</v>
      </c>
      <c r="AJ119" s="7">
        <v>3.0</v>
      </c>
      <c r="AK119" s="7">
        <v>2.0</v>
      </c>
      <c r="AL119" s="7">
        <v>0.0</v>
      </c>
      <c r="AM119" s="7">
        <v>5.0</v>
      </c>
      <c r="AN119" s="8">
        <v>119.0</v>
      </c>
      <c r="AO119" s="4">
        <v>95.97</v>
      </c>
    </row>
    <row r="120">
      <c r="A120" s="3" t="s">
        <v>41</v>
      </c>
      <c r="B120" s="4">
        <v>40227.0</v>
      </c>
      <c r="C120" s="9">
        <v>46026.0</v>
      </c>
      <c r="D120" s="4" t="s">
        <v>43</v>
      </c>
      <c r="E120" s="3" t="s">
        <v>44</v>
      </c>
      <c r="F120" s="4">
        <v>89772.0</v>
      </c>
      <c r="G120" s="3" t="s">
        <v>441</v>
      </c>
      <c r="H120" s="3" t="s">
        <v>442</v>
      </c>
      <c r="I120" s="4">
        <v>8.757000154E9</v>
      </c>
      <c r="J120" s="5">
        <v>46134.536516203705</v>
      </c>
      <c r="K120" s="3" t="s">
        <v>124</v>
      </c>
      <c r="L120" s="3" t="s">
        <v>440</v>
      </c>
      <c r="M120" s="3" t="s">
        <v>135</v>
      </c>
      <c r="N120" s="3" t="s">
        <v>50</v>
      </c>
      <c r="O120" s="3" t="s">
        <v>51</v>
      </c>
      <c r="P120" s="6">
        <v>46147.0</v>
      </c>
      <c r="Q120" s="7" t="s">
        <v>77</v>
      </c>
      <c r="R120" s="4">
        <v>1775.0</v>
      </c>
      <c r="S120" s="3" t="s">
        <v>295</v>
      </c>
      <c r="T120" s="3" t="s">
        <v>54</v>
      </c>
      <c r="U120" s="3" t="s">
        <v>79</v>
      </c>
      <c r="V120" s="3" t="s">
        <v>69</v>
      </c>
      <c r="W120" s="3" t="s">
        <v>70</v>
      </c>
      <c r="X120" s="3" t="s">
        <v>58</v>
      </c>
      <c r="Y120" s="3" t="s">
        <v>59</v>
      </c>
      <c r="Z120" s="4">
        <v>6.0</v>
      </c>
      <c r="AA120" s="3" t="s">
        <v>60</v>
      </c>
      <c r="AB120" s="7">
        <v>97.0</v>
      </c>
      <c r="AC120" s="7">
        <v>0.0</v>
      </c>
      <c r="AD120" s="7">
        <v>97.0</v>
      </c>
      <c r="AE120" s="7">
        <v>49.0</v>
      </c>
      <c r="AF120" s="7">
        <v>0.0</v>
      </c>
      <c r="AG120" s="7">
        <v>49.0</v>
      </c>
      <c r="AH120" s="7">
        <v>8.0</v>
      </c>
      <c r="AI120" s="7">
        <v>0.0</v>
      </c>
      <c r="AJ120" s="7">
        <v>8.0</v>
      </c>
      <c r="AK120" s="7">
        <v>0.0</v>
      </c>
      <c r="AL120" s="7">
        <v>0.0</v>
      </c>
      <c r="AM120" s="7">
        <v>8.0</v>
      </c>
      <c r="AN120" s="8">
        <v>145.0</v>
      </c>
      <c r="AO120" s="4">
        <v>82.39</v>
      </c>
    </row>
    <row r="121">
      <c r="A121" s="3" t="s">
        <v>41</v>
      </c>
      <c r="B121" s="4">
        <v>40341.0</v>
      </c>
      <c r="C121" s="9">
        <v>46026.0</v>
      </c>
      <c r="D121" s="4" t="s">
        <v>43</v>
      </c>
      <c r="E121" s="3" t="s">
        <v>44</v>
      </c>
      <c r="F121" s="4">
        <v>89866.0</v>
      </c>
      <c r="G121" s="3" t="s">
        <v>443</v>
      </c>
      <c r="H121" s="3" t="s">
        <v>444</v>
      </c>
      <c r="I121" s="4">
        <v>9.573634493E9</v>
      </c>
      <c r="J121" s="5">
        <v>46135.68456018518</v>
      </c>
      <c r="K121" s="3" t="s">
        <v>124</v>
      </c>
      <c r="L121" s="3" t="s">
        <v>445</v>
      </c>
      <c r="M121" s="3" t="s">
        <v>100</v>
      </c>
      <c r="N121" s="3" t="s">
        <v>50</v>
      </c>
      <c r="O121" s="3" t="s">
        <v>51</v>
      </c>
      <c r="P121" s="6">
        <v>46331.0</v>
      </c>
      <c r="Q121" s="7" t="s">
        <v>125</v>
      </c>
      <c r="R121" s="4">
        <v>1786.0</v>
      </c>
      <c r="S121" s="3" t="s">
        <v>380</v>
      </c>
      <c r="T121" s="3" t="s">
        <v>54</v>
      </c>
      <c r="U121" s="3" t="s">
        <v>79</v>
      </c>
      <c r="V121" s="3" t="s">
        <v>69</v>
      </c>
      <c r="W121" s="3" t="s">
        <v>70</v>
      </c>
      <c r="X121" s="3" t="s">
        <v>58</v>
      </c>
      <c r="Y121" s="3" t="s">
        <v>59</v>
      </c>
      <c r="Z121" s="4">
        <v>6.0</v>
      </c>
      <c r="AA121" s="3" t="s">
        <v>60</v>
      </c>
      <c r="AB121" s="7">
        <v>102.0</v>
      </c>
      <c r="AC121" s="7">
        <v>0.0</v>
      </c>
      <c r="AD121" s="7">
        <v>102.0</v>
      </c>
      <c r="AE121" s="7">
        <v>74.0</v>
      </c>
      <c r="AF121" s="7">
        <v>0.0</v>
      </c>
      <c r="AG121" s="7">
        <v>74.0</v>
      </c>
      <c r="AH121" s="7">
        <v>6.0</v>
      </c>
      <c r="AI121" s="7">
        <v>0.0</v>
      </c>
      <c r="AJ121" s="7">
        <v>6.0</v>
      </c>
      <c r="AK121" s="7">
        <v>0.0</v>
      </c>
      <c r="AL121" s="7">
        <v>0.0</v>
      </c>
      <c r="AM121" s="7">
        <v>6.0</v>
      </c>
      <c r="AN121" s="8">
        <v>126.0</v>
      </c>
      <c r="AO121" s="4">
        <v>100.0</v>
      </c>
    </row>
    <row r="122">
      <c r="A122" s="3" t="s">
        <v>41</v>
      </c>
      <c r="B122" s="4">
        <v>40246.0</v>
      </c>
      <c r="C122" s="9">
        <v>46026.0</v>
      </c>
      <c r="D122" s="4" t="s">
        <v>43</v>
      </c>
      <c r="E122" s="3" t="s">
        <v>44</v>
      </c>
      <c r="F122" s="4">
        <v>88561.0</v>
      </c>
      <c r="G122" s="3" t="s">
        <v>446</v>
      </c>
      <c r="H122" s="3" t="s">
        <v>447</v>
      </c>
      <c r="I122" s="4">
        <v>9.532373699E9</v>
      </c>
      <c r="J122" s="5">
        <v>46062.5859837963</v>
      </c>
      <c r="K122" s="3" t="s">
        <v>47</v>
      </c>
      <c r="L122" s="3" t="s">
        <v>448</v>
      </c>
      <c r="M122" s="3" t="s">
        <v>54</v>
      </c>
      <c r="N122" s="3" t="s">
        <v>50</v>
      </c>
      <c r="O122" s="3" t="s">
        <v>65</v>
      </c>
      <c r="P122" s="6">
        <v>46147.0</v>
      </c>
      <c r="Q122" s="7" t="s">
        <v>77</v>
      </c>
      <c r="R122" s="4">
        <v>1785.0</v>
      </c>
      <c r="S122" s="3" t="s">
        <v>209</v>
      </c>
      <c r="T122" s="3" t="s">
        <v>54</v>
      </c>
      <c r="U122" s="3" t="s">
        <v>79</v>
      </c>
      <c r="V122" s="3" t="s">
        <v>69</v>
      </c>
      <c r="W122" s="3" t="s">
        <v>70</v>
      </c>
      <c r="X122" s="3" t="s">
        <v>58</v>
      </c>
      <c r="Y122" s="3" t="s">
        <v>59</v>
      </c>
      <c r="Z122" s="4">
        <v>6.0</v>
      </c>
      <c r="AA122" s="3" t="s">
        <v>80</v>
      </c>
      <c r="AB122" s="7">
        <v>112.0</v>
      </c>
      <c r="AC122" s="7">
        <v>0.0</v>
      </c>
      <c r="AD122" s="7">
        <v>112.0</v>
      </c>
      <c r="AE122" s="7">
        <v>75.0</v>
      </c>
      <c r="AF122" s="7">
        <v>0.0</v>
      </c>
      <c r="AG122" s="7">
        <v>75.0</v>
      </c>
      <c r="AH122" s="7">
        <v>8.0</v>
      </c>
      <c r="AI122" s="7">
        <v>0.0</v>
      </c>
      <c r="AJ122" s="7">
        <v>8.0</v>
      </c>
      <c r="AK122" s="7">
        <v>0.0</v>
      </c>
      <c r="AL122" s="7">
        <v>0.0</v>
      </c>
      <c r="AM122" s="7">
        <v>8.0</v>
      </c>
      <c r="AN122" s="8">
        <v>93.0</v>
      </c>
      <c r="AO122" s="4">
        <v>68.38</v>
      </c>
    </row>
    <row r="123">
      <c r="A123" s="3" t="s">
        <v>41</v>
      </c>
      <c r="B123" s="4">
        <v>40362.0</v>
      </c>
      <c r="C123" s="9">
        <v>46026.0</v>
      </c>
      <c r="D123" s="4" t="s">
        <v>43</v>
      </c>
      <c r="E123" s="3" t="s">
        <v>44</v>
      </c>
      <c r="F123" s="4">
        <v>73643.0</v>
      </c>
      <c r="G123" s="3" t="s">
        <v>449</v>
      </c>
      <c r="H123" s="3" t="s">
        <v>450</v>
      </c>
      <c r="I123" s="4">
        <v>7.905616689E9</v>
      </c>
      <c r="J123" s="5">
        <v>45473.56519675926</v>
      </c>
      <c r="K123" s="3" t="s">
        <v>201</v>
      </c>
      <c r="L123" s="3" t="s">
        <v>202</v>
      </c>
      <c r="M123" s="3" t="s">
        <v>54</v>
      </c>
      <c r="N123" s="3" t="s">
        <v>50</v>
      </c>
      <c r="O123" s="3" t="s">
        <v>101</v>
      </c>
      <c r="P123" s="6">
        <v>46178.0</v>
      </c>
      <c r="Q123" s="7" t="s">
        <v>77</v>
      </c>
      <c r="R123" s="4">
        <v>1793.0</v>
      </c>
      <c r="S123" s="3" t="s">
        <v>158</v>
      </c>
      <c r="T123" s="3" t="s">
        <v>54</v>
      </c>
      <c r="U123" s="3" t="s">
        <v>79</v>
      </c>
      <c r="V123" s="3" t="s">
        <v>69</v>
      </c>
      <c r="W123" s="3" t="s">
        <v>70</v>
      </c>
      <c r="X123" s="3" t="s">
        <v>58</v>
      </c>
      <c r="Y123" s="3" t="s">
        <v>59</v>
      </c>
      <c r="Z123" s="4">
        <v>6.0</v>
      </c>
      <c r="AA123" s="3" t="s">
        <v>60</v>
      </c>
      <c r="AB123" s="7">
        <v>100.0</v>
      </c>
      <c r="AC123" s="7">
        <v>0.0</v>
      </c>
      <c r="AD123" s="7">
        <v>100.0</v>
      </c>
      <c r="AE123" s="7">
        <v>66.0</v>
      </c>
      <c r="AF123" s="7">
        <v>0.0</v>
      </c>
      <c r="AG123" s="7">
        <v>66.0</v>
      </c>
      <c r="AH123" s="7">
        <v>8.0</v>
      </c>
      <c r="AI123" s="7">
        <v>0.0</v>
      </c>
      <c r="AJ123" s="7">
        <v>8.0</v>
      </c>
      <c r="AK123" s="7">
        <v>0.0</v>
      </c>
      <c r="AL123" s="7">
        <v>0.0</v>
      </c>
      <c r="AM123" s="7">
        <v>8.0</v>
      </c>
      <c r="AN123" s="8">
        <v>0.0</v>
      </c>
      <c r="AO123" s="12"/>
    </row>
    <row r="124">
      <c r="A124" s="3" t="s">
        <v>41</v>
      </c>
      <c r="B124" s="4">
        <v>40247.0</v>
      </c>
      <c r="C124" s="9">
        <v>46026.0</v>
      </c>
      <c r="D124" s="4" t="s">
        <v>43</v>
      </c>
      <c r="E124" s="3" t="s">
        <v>44</v>
      </c>
      <c r="F124" s="4">
        <v>88642.0</v>
      </c>
      <c r="G124" s="3" t="s">
        <v>451</v>
      </c>
      <c r="H124" s="3" t="s">
        <v>452</v>
      </c>
      <c r="I124" s="4">
        <v>7.722998189E9</v>
      </c>
      <c r="J124" s="5">
        <v>46067.630949074075</v>
      </c>
      <c r="K124" s="3" t="s">
        <v>453</v>
      </c>
      <c r="L124" s="3" t="s">
        <v>161</v>
      </c>
      <c r="M124" s="3" t="s">
        <v>162</v>
      </c>
      <c r="N124" s="3" t="s">
        <v>50</v>
      </c>
      <c r="O124" s="3" t="s">
        <v>65</v>
      </c>
      <c r="P124" s="6">
        <v>46117.0</v>
      </c>
      <c r="Q124" s="7" t="s">
        <v>125</v>
      </c>
      <c r="R124" s="4">
        <v>1785.0</v>
      </c>
      <c r="S124" s="3" t="s">
        <v>209</v>
      </c>
      <c r="T124" s="3" t="s">
        <v>54</v>
      </c>
      <c r="U124" s="3" t="s">
        <v>79</v>
      </c>
      <c r="V124" s="3" t="s">
        <v>69</v>
      </c>
      <c r="W124" s="3" t="s">
        <v>70</v>
      </c>
      <c r="X124" s="3" t="s">
        <v>58</v>
      </c>
      <c r="Y124" s="3" t="s">
        <v>59</v>
      </c>
      <c r="Z124" s="4">
        <v>7.0</v>
      </c>
      <c r="AA124" s="3" t="s">
        <v>146</v>
      </c>
      <c r="AB124" s="7">
        <v>112.0</v>
      </c>
      <c r="AC124" s="7">
        <v>0.0</v>
      </c>
      <c r="AD124" s="7">
        <v>112.0</v>
      </c>
      <c r="AE124" s="7">
        <v>75.0</v>
      </c>
      <c r="AF124" s="7">
        <v>0.0</v>
      </c>
      <c r="AG124" s="7">
        <v>75.0</v>
      </c>
      <c r="AH124" s="7">
        <v>8.0</v>
      </c>
      <c r="AI124" s="7">
        <v>0.0</v>
      </c>
      <c r="AJ124" s="7">
        <v>8.0</v>
      </c>
      <c r="AK124" s="7">
        <v>0.0</v>
      </c>
      <c r="AL124" s="7">
        <v>0.0</v>
      </c>
      <c r="AM124" s="7">
        <v>8.0</v>
      </c>
      <c r="AN124" s="8">
        <v>119.0</v>
      </c>
      <c r="AO124" s="4">
        <v>61.98</v>
      </c>
    </row>
    <row r="125">
      <c r="A125" s="3" t="s">
        <v>41</v>
      </c>
      <c r="B125" s="4">
        <v>40258.0</v>
      </c>
      <c r="C125" s="4" t="s">
        <v>42</v>
      </c>
      <c r="D125" s="4" t="s">
        <v>81</v>
      </c>
      <c r="E125" s="3" t="s">
        <v>44</v>
      </c>
      <c r="F125" s="4">
        <v>89198.0</v>
      </c>
      <c r="G125" s="3" t="s">
        <v>454</v>
      </c>
      <c r="H125" s="3" t="s">
        <v>455</v>
      </c>
      <c r="I125" s="4">
        <v>8.979721557E9</v>
      </c>
      <c r="J125" s="5">
        <v>46104.5053125</v>
      </c>
      <c r="K125" s="3" t="s">
        <v>47</v>
      </c>
      <c r="L125" s="3" t="s">
        <v>456</v>
      </c>
      <c r="M125" s="3" t="s">
        <v>54</v>
      </c>
      <c r="N125" s="3" t="s">
        <v>50</v>
      </c>
      <c r="O125" s="3" t="s">
        <v>101</v>
      </c>
      <c r="P125" s="6">
        <v>46058.0</v>
      </c>
      <c r="Q125" s="7" t="s">
        <v>85</v>
      </c>
      <c r="R125" s="4">
        <v>1984.0</v>
      </c>
      <c r="S125" s="3" t="s">
        <v>86</v>
      </c>
      <c r="T125" s="3" t="s">
        <v>87</v>
      </c>
      <c r="U125" s="3" t="s">
        <v>88</v>
      </c>
      <c r="V125" s="3" t="s">
        <v>89</v>
      </c>
      <c r="W125" s="3" t="s">
        <v>57</v>
      </c>
      <c r="X125" s="3" t="s">
        <v>58</v>
      </c>
      <c r="Y125" s="3" t="s">
        <v>59</v>
      </c>
      <c r="Z125" s="4">
        <v>5.0</v>
      </c>
      <c r="AA125" s="3" t="s">
        <v>193</v>
      </c>
      <c r="AB125" s="7">
        <v>41.0</v>
      </c>
      <c r="AC125" s="7">
        <v>23.0</v>
      </c>
      <c r="AD125" s="7">
        <v>18.0</v>
      </c>
      <c r="AE125" s="7">
        <v>41.0</v>
      </c>
      <c r="AF125" s="7">
        <v>23.0</v>
      </c>
      <c r="AG125" s="7">
        <v>18.0</v>
      </c>
      <c r="AH125" s="7">
        <v>8.0</v>
      </c>
      <c r="AI125" s="7">
        <v>0.0</v>
      </c>
      <c r="AJ125" s="7">
        <v>5.0</v>
      </c>
      <c r="AK125" s="7">
        <v>0.0</v>
      </c>
      <c r="AL125" s="7">
        <v>3.0</v>
      </c>
      <c r="AM125" s="7">
        <v>5.0</v>
      </c>
      <c r="AN125" s="8">
        <v>26.0</v>
      </c>
      <c r="AO125" s="4">
        <v>86.67</v>
      </c>
    </row>
    <row r="126">
      <c r="A126" s="3" t="s">
        <v>41</v>
      </c>
      <c r="B126" s="4">
        <v>40352.0</v>
      </c>
      <c r="C126" s="9">
        <v>46026.0</v>
      </c>
      <c r="D126" s="4" t="s">
        <v>43</v>
      </c>
      <c r="E126" s="3" t="s">
        <v>44</v>
      </c>
      <c r="F126" s="4">
        <v>78552.0</v>
      </c>
      <c r="G126" s="3" t="s">
        <v>457</v>
      </c>
      <c r="H126" s="3" t="s">
        <v>458</v>
      </c>
      <c r="I126" s="4">
        <v>8.505984774E9</v>
      </c>
      <c r="J126" s="5">
        <v>45624.65488425926</v>
      </c>
      <c r="K126" s="3" t="s">
        <v>47</v>
      </c>
      <c r="L126" s="3" t="s">
        <v>383</v>
      </c>
      <c r="M126" s="3" t="s">
        <v>54</v>
      </c>
      <c r="N126" s="3" t="s">
        <v>50</v>
      </c>
      <c r="O126" s="3" t="s">
        <v>101</v>
      </c>
      <c r="P126" s="6">
        <v>46208.0</v>
      </c>
      <c r="Q126" s="7" t="s">
        <v>43</v>
      </c>
      <c r="R126" s="4">
        <v>1779.0</v>
      </c>
      <c r="S126" s="3" t="s">
        <v>300</v>
      </c>
      <c r="T126" s="3" t="s">
        <v>54</v>
      </c>
      <c r="U126" s="3" t="s">
        <v>68</v>
      </c>
      <c r="V126" s="3" t="s">
        <v>69</v>
      </c>
      <c r="W126" s="3" t="s">
        <v>70</v>
      </c>
      <c r="X126" s="3" t="s">
        <v>58</v>
      </c>
      <c r="Y126" s="3" t="s">
        <v>59</v>
      </c>
      <c r="Z126" s="4">
        <v>8.0</v>
      </c>
      <c r="AA126" s="3" t="s">
        <v>80</v>
      </c>
      <c r="AB126" s="7">
        <v>112.0</v>
      </c>
      <c r="AC126" s="7">
        <v>0.0</v>
      </c>
      <c r="AD126" s="7">
        <v>112.0</v>
      </c>
      <c r="AE126" s="7">
        <v>76.0</v>
      </c>
      <c r="AF126" s="7">
        <v>0.0</v>
      </c>
      <c r="AG126" s="7">
        <v>76.0</v>
      </c>
      <c r="AH126" s="7">
        <v>8.0</v>
      </c>
      <c r="AI126" s="7">
        <v>0.0</v>
      </c>
      <c r="AJ126" s="7">
        <v>8.0</v>
      </c>
      <c r="AK126" s="7">
        <v>0.0</v>
      </c>
      <c r="AL126" s="7">
        <v>0.0</v>
      </c>
      <c r="AM126" s="7">
        <v>8.0</v>
      </c>
      <c r="AN126" s="8">
        <v>271.0</v>
      </c>
      <c r="AO126" s="4">
        <v>99.63</v>
      </c>
    </row>
    <row r="127">
      <c r="A127" s="3" t="s">
        <v>41</v>
      </c>
      <c r="B127" s="4">
        <v>40305.0</v>
      </c>
      <c r="C127" s="9">
        <v>46299.0</v>
      </c>
      <c r="D127" s="4" t="s">
        <v>91</v>
      </c>
      <c r="E127" s="3" t="s">
        <v>44</v>
      </c>
      <c r="F127" s="4">
        <v>76215.0</v>
      </c>
      <c r="G127" s="3" t="s">
        <v>459</v>
      </c>
      <c r="H127" s="3" t="s">
        <v>460</v>
      </c>
      <c r="I127" s="4">
        <v>9.866360828E9</v>
      </c>
      <c r="J127" s="5">
        <v>45532.984131944446</v>
      </c>
      <c r="K127" s="3" t="s">
        <v>461</v>
      </c>
      <c r="L127" s="3" t="s">
        <v>161</v>
      </c>
      <c r="M127" s="3" t="s">
        <v>162</v>
      </c>
      <c r="N127" s="3" t="s">
        <v>50</v>
      </c>
      <c r="O127" s="3" t="s">
        <v>101</v>
      </c>
      <c r="P127" s="6">
        <v>46147.0</v>
      </c>
      <c r="Q127" s="7" t="s">
        <v>95</v>
      </c>
      <c r="R127" s="4">
        <v>1720.0</v>
      </c>
      <c r="S127" s="3" t="s">
        <v>179</v>
      </c>
      <c r="T127" s="3" t="s">
        <v>54</v>
      </c>
      <c r="U127" s="3" t="s">
        <v>79</v>
      </c>
      <c r="V127" s="3" t="s">
        <v>120</v>
      </c>
      <c r="W127" s="3" t="s">
        <v>57</v>
      </c>
      <c r="X127" s="3" t="s">
        <v>58</v>
      </c>
      <c r="Y127" s="3" t="s">
        <v>59</v>
      </c>
      <c r="Z127" s="4">
        <v>8.0</v>
      </c>
      <c r="AA127" s="3" t="s">
        <v>234</v>
      </c>
      <c r="AB127" s="7">
        <v>57.0</v>
      </c>
      <c r="AC127" s="7">
        <v>0.0</v>
      </c>
      <c r="AD127" s="7">
        <v>57.0</v>
      </c>
      <c r="AE127" s="7">
        <v>57.0</v>
      </c>
      <c r="AF127" s="7">
        <v>0.0</v>
      </c>
      <c r="AG127" s="7">
        <v>57.0</v>
      </c>
      <c r="AH127" s="10">
        <v>5.0</v>
      </c>
      <c r="AI127" s="7">
        <v>0.0</v>
      </c>
      <c r="AJ127" s="7">
        <v>5.0</v>
      </c>
      <c r="AK127" s="10">
        <v>0.0</v>
      </c>
      <c r="AL127" s="7">
        <v>0.0</v>
      </c>
      <c r="AM127" s="10">
        <v>5.0</v>
      </c>
      <c r="AN127" s="8">
        <v>62.0</v>
      </c>
      <c r="AO127" s="4">
        <v>44.29</v>
      </c>
    </row>
    <row r="128">
      <c r="A128" s="3" t="s">
        <v>41</v>
      </c>
      <c r="B128" s="4">
        <v>40263.0</v>
      </c>
      <c r="C128" s="9">
        <v>46026.0</v>
      </c>
      <c r="D128" s="4" t="s">
        <v>43</v>
      </c>
      <c r="E128" s="3" t="s">
        <v>44</v>
      </c>
      <c r="F128" s="4">
        <v>77174.0</v>
      </c>
      <c r="G128" s="3" t="s">
        <v>462</v>
      </c>
      <c r="H128" s="3" t="s">
        <v>463</v>
      </c>
      <c r="I128" s="4">
        <v>8.610354072E9</v>
      </c>
      <c r="J128" s="5">
        <v>45569.53712962963</v>
      </c>
      <c r="K128" s="3" t="s">
        <v>47</v>
      </c>
      <c r="L128" s="3" t="s">
        <v>278</v>
      </c>
      <c r="M128" s="3" t="s">
        <v>112</v>
      </c>
      <c r="N128" s="3" t="s">
        <v>50</v>
      </c>
      <c r="O128" s="3" t="s">
        <v>249</v>
      </c>
      <c r="P128" s="6">
        <v>46117.0</v>
      </c>
      <c r="Q128" s="7" t="s">
        <v>125</v>
      </c>
      <c r="R128" s="4">
        <v>1790.0</v>
      </c>
      <c r="S128" s="3" t="s">
        <v>213</v>
      </c>
      <c r="T128" s="3" t="s">
        <v>54</v>
      </c>
      <c r="U128" s="3" t="s">
        <v>68</v>
      </c>
      <c r="V128" s="3" t="s">
        <v>69</v>
      </c>
      <c r="W128" s="3" t="s">
        <v>70</v>
      </c>
      <c r="X128" s="3" t="s">
        <v>58</v>
      </c>
      <c r="Y128" s="3" t="s">
        <v>59</v>
      </c>
      <c r="Z128" s="4">
        <v>7.0</v>
      </c>
      <c r="AA128" s="3" t="s">
        <v>146</v>
      </c>
      <c r="AB128" s="7">
        <v>119.0</v>
      </c>
      <c r="AC128" s="7">
        <v>0.0</v>
      </c>
      <c r="AD128" s="7">
        <v>119.0</v>
      </c>
      <c r="AE128" s="7">
        <v>88.0</v>
      </c>
      <c r="AF128" s="7">
        <v>0.0</v>
      </c>
      <c r="AG128" s="7">
        <v>88.0</v>
      </c>
      <c r="AH128" s="7">
        <v>8.0</v>
      </c>
      <c r="AI128" s="7">
        <v>0.0</v>
      </c>
      <c r="AJ128" s="7">
        <v>8.0</v>
      </c>
      <c r="AK128" s="7">
        <v>0.0</v>
      </c>
      <c r="AL128" s="7">
        <v>0.0</v>
      </c>
      <c r="AM128" s="7">
        <v>8.0</v>
      </c>
      <c r="AN128" s="8">
        <v>152.0</v>
      </c>
      <c r="AO128" s="4">
        <v>100.0</v>
      </c>
    </row>
    <row r="129">
      <c r="A129" s="3" t="s">
        <v>41</v>
      </c>
      <c r="B129" s="4">
        <v>40384.0</v>
      </c>
      <c r="C129" s="4" t="s">
        <v>127</v>
      </c>
      <c r="D129" s="4" t="s">
        <v>128</v>
      </c>
      <c r="E129" s="3" t="s">
        <v>44</v>
      </c>
      <c r="F129" s="4">
        <v>21221.0</v>
      </c>
      <c r="G129" s="3" t="s">
        <v>464</v>
      </c>
      <c r="H129" s="3" t="s">
        <v>465</v>
      </c>
      <c r="I129" s="13"/>
      <c r="J129" s="5">
        <v>43108.343090277776</v>
      </c>
      <c r="K129" s="3" t="s">
        <v>466</v>
      </c>
      <c r="L129" s="3" t="s">
        <v>467</v>
      </c>
      <c r="M129" s="3" t="s">
        <v>468</v>
      </c>
      <c r="N129" s="3" t="s">
        <v>469</v>
      </c>
      <c r="O129" s="3"/>
      <c r="P129" s="6">
        <v>46147.0</v>
      </c>
      <c r="Q129" s="7" t="s">
        <v>118</v>
      </c>
      <c r="R129" s="4">
        <v>22.0</v>
      </c>
      <c r="S129" s="3" t="s">
        <v>198</v>
      </c>
      <c r="T129" s="3" t="s">
        <v>135</v>
      </c>
      <c r="U129" s="3" t="s">
        <v>136</v>
      </c>
      <c r="V129" s="3" t="s">
        <v>56</v>
      </c>
      <c r="W129" s="3" t="s">
        <v>57</v>
      </c>
      <c r="X129" s="3" t="s">
        <v>58</v>
      </c>
      <c r="Y129" s="3" t="s">
        <v>59</v>
      </c>
      <c r="Z129" s="4">
        <v>7.0</v>
      </c>
      <c r="AA129" s="3" t="s">
        <v>60</v>
      </c>
      <c r="AB129" s="7">
        <v>75.0</v>
      </c>
      <c r="AC129" s="7">
        <v>29.0</v>
      </c>
      <c r="AD129" s="7">
        <v>46.0</v>
      </c>
      <c r="AE129" s="7">
        <v>75.0</v>
      </c>
      <c r="AF129" s="7">
        <v>29.0</v>
      </c>
      <c r="AG129" s="7">
        <v>46.0</v>
      </c>
      <c r="AH129" s="7">
        <v>5.0</v>
      </c>
      <c r="AI129" s="7">
        <v>0.0</v>
      </c>
      <c r="AJ129" s="7">
        <v>3.0</v>
      </c>
      <c r="AK129" s="7">
        <v>2.0</v>
      </c>
      <c r="AL129" s="7">
        <v>0.0</v>
      </c>
      <c r="AM129" s="7">
        <v>5.0</v>
      </c>
      <c r="AN129" s="8">
        <v>118.0</v>
      </c>
      <c r="AO129" s="4">
        <v>81.38</v>
      </c>
    </row>
    <row r="130">
      <c r="A130" s="3" t="s">
        <v>41</v>
      </c>
      <c r="B130" s="4">
        <v>40418.0</v>
      </c>
      <c r="C130" s="4" t="s">
        <v>127</v>
      </c>
      <c r="D130" s="4" t="s">
        <v>470</v>
      </c>
      <c r="E130" s="3" t="s">
        <v>44</v>
      </c>
      <c r="F130" s="4">
        <v>21221.0</v>
      </c>
      <c r="G130" s="3" t="s">
        <v>464</v>
      </c>
      <c r="H130" s="3" t="s">
        <v>465</v>
      </c>
      <c r="I130" s="13"/>
      <c r="J130" s="5">
        <v>43108.343090277776</v>
      </c>
      <c r="K130" s="3" t="s">
        <v>466</v>
      </c>
      <c r="L130" s="3" t="s">
        <v>467</v>
      </c>
      <c r="M130" s="3" t="s">
        <v>468</v>
      </c>
      <c r="N130" s="3" t="s">
        <v>469</v>
      </c>
      <c r="O130" s="3"/>
      <c r="P130" s="6">
        <v>46117.0</v>
      </c>
      <c r="Q130" s="7" t="s">
        <v>245</v>
      </c>
      <c r="R130" s="4">
        <v>114.0</v>
      </c>
      <c r="S130" s="3" t="s">
        <v>471</v>
      </c>
      <c r="T130" s="3" t="s">
        <v>135</v>
      </c>
      <c r="U130" s="3" t="s">
        <v>164</v>
      </c>
      <c r="V130" s="3" t="s">
        <v>56</v>
      </c>
      <c r="W130" s="3" t="s">
        <v>57</v>
      </c>
      <c r="X130" s="3" t="s">
        <v>58</v>
      </c>
      <c r="Y130" s="3" t="s">
        <v>59</v>
      </c>
      <c r="Z130" s="4">
        <v>8.0</v>
      </c>
      <c r="AA130" s="3" t="s">
        <v>60</v>
      </c>
      <c r="AB130" s="7">
        <v>47.0</v>
      </c>
      <c r="AC130" s="7">
        <v>0.0</v>
      </c>
      <c r="AD130" s="7">
        <v>47.0</v>
      </c>
      <c r="AE130" s="7">
        <v>47.0</v>
      </c>
      <c r="AF130" s="7">
        <v>0.0</v>
      </c>
      <c r="AG130" s="7">
        <v>47.0</v>
      </c>
      <c r="AH130" s="7">
        <v>5.0</v>
      </c>
      <c r="AI130" s="7">
        <v>0.0</v>
      </c>
      <c r="AJ130" s="7">
        <v>4.0</v>
      </c>
      <c r="AK130" s="7">
        <v>1.0</v>
      </c>
      <c r="AL130" s="7">
        <v>0.0</v>
      </c>
      <c r="AM130" s="7">
        <v>5.0</v>
      </c>
      <c r="AN130" s="8">
        <v>92.0</v>
      </c>
      <c r="AO130" s="4">
        <v>68.15</v>
      </c>
    </row>
    <row r="131">
      <c r="A131" s="3" t="s">
        <v>41</v>
      </c>
      <c r="B131" s="4">
        <v>40420.0</v>
      </c>
      <c r="C131" s="4" t="s">
        <v>127</v>
      </c>
      <c r="D131" s="4" t="s">
        <v>128</v>
      </c>
      <c r="E131" s="3" t="s">
        <v>44</v>
      </c>
      <c r="F131" s="4">
        <v>21221.0</v>
      </c>
      <c r="G131" s="3" t="s">
        <v>464</v>
      </c>
      <c r="H131" s="3" t="s">
        <v>465</v>
      </c>
      <c r="I131" s="13"/>
      <c r="J131" s="5">
        <v>43108.343090277776</v>
      </c>
      <c r="K131" s="3" t="s">
        <v>466</v>
      </c>
      <c r="L131" s="3" t="s">
        <v>467</v>
      </c>
      <c r="M131" s="3" t="s">
        <v>468</v>
      </c>
      <c r="N131" s="3" t="s">
        <v>469</v>
      </c>
      <c r="O131" s="3"/>
      <c r="P131" s="6">
        <v>46117.0</v>
      </c>
      <c r="Q131" s="7" t="s">
        <v>245</v>
      </c>
      <c r="R131" s="4">
        <v>115.0</v>
      </c>
      <c r="S131" s="3" t="s">
        <v>472</v>
      </c>
      <c r="T131" s="3" t="s">
        <v>135</v>
      </c>
      <c r="U131" s="3" t="s">
        <v>164</v>
      </c>
      <c r="V131" s="3" t="s">
        <v>56</v>
      </c>
      <c r="W131" s="3" t="s">
        <v>57</v>
      </c>
      <c r="X131" s="3" t="s">
        <v>58</v>
      </c>
      <c r="Y131" s="3" t="s">
        <v>59</v>
      </c>
      <c r="Z131" s="4">
        <v>8.0</v>
      </c>
      <c r="AA131" s="3" t="s">
        <v>60</v>
      </c>
      <c r="AB131" s="7">
        <v>44.0</v>
      </c>
      <c r="AC131" s="7">
        <v>0.0</v>
      </c>
      <c r="AD131" s="7">
        <v>44.0</v>
      </c>
      <c r="AE131" s="7">
        <v>44.0</v>
      </c>
      <c r="AF131" s="7">
        <v>0.0</v>
      </c>
      <c r="AG131" s="7">
        <v>44.0</v>
      </c>
      <c r="AH131" s="7">
        <v>5.0</v>
      </c>
      <c r="AI131" s="7">
        <v>0.0</v>
      </c>
      <c r="AJ131" s="7">
        <v>4.0</v>
      </c>
      <c r="AK131" s="7">
        <v>1.0</v>
      </c>
      <c r="AL131" s="7">
        <v>0.0</v>
      </c>
      <c r="AM131" s="7">
        <v>5.0</v>
      </c>
      <c r="AN131" s="8">
        <v>93.0</v>
      </c>
      <c r="AO131" s="4">
        <v>60.0</v>
      </c>
    </row>
    <row r="132">
      <c r="A132" s="3" t="s">
        <v>41</v>
      </c>
      <c r="B132" s="4">
        <v>40386.0</v>
      </c>
      <c r="C132" s="4" t="s">
        <v>127</v>
      </c>
      <c r="D132" s="4" t="s">
        <v>128</v>
      </c>
      <c r="E132" s="3" t="s">
        <v>44</v>
      </c>
      <c r="F132" s="4">
        <v>78237.0</v>
      </c>
      <c r="G132" s="3" t="s">
        <v>473</v>
      </c>
      <c r="H132" s="3" t="s">
        <v>474</v>
      </c>
      <c r="I132" s="4">
        <v>9.811173446E9</v>
      </c>
      <c r="J132" s="5">
        <v>45618.584641203706</v>
      </c>
      <c r="K132" s="5"/>
      <c r="L132" s="3" t="s">
        <v>328</v>
      </c>
      <c r="M132" s="3" t="s">
        <v>49</v>
      </c>
      <c r="N132" s="3" t="s">
        <v>50</v>
      </c>
      <c r="O132" s="3" t="s">
        <v>101</v>
      </c>
      <c r="P132" s="6">
        <v>46117.0</v>
      </c>
      <c r="Q132" s="7" t="s">
        <v>95</v>
      </c>
      <c r="R132" s="4">
        <v>1689.0</v>
      </c>
      <c r="S132" s="3" t="s">
        <v>475</v>
      </c>
      <c r="T132" s="3" t="s">
        <v>135</v>
      </c>
      <c r="U132" s="3" t="s">
        <v>136</v>
      </c>
      <c r="V132" s="3" t="s">
        <v>56</v>
      </c>
      <c r="W132" s="3" t="s">
        <v>57</v>
      </c>
      <c r="X132" s="3" t="s">
        <v>58</v>
      </c>
      <c r="Y132" s="3" t="s">
        <v>59</v>
      </c>
      <c r="Z132" s="4">
        <v>7.0</v>
      </c>
      <c r="AA132" s="3" t="s">
        <v>60</v>
      </c>
      <c r="AB132" s="7">
        <v>106.0</v>
      </c>
      <c r="AC132" s="7">
        <v>46.0</v>
      </c>
      <c r="AD132" s="7">
        <v>59.0</v>
      </c>
      <c r="AE132" s="7">
        <v>58.0</v>
      </c>
      <c r="AF132" s="7">
        <v>27.0</v>
      </c>
      <c r="AG132" s="7">
        <v>30.0</v>
      </c>
      <c r="AH132" s="7">
        <v>6.0</v>
      </c>
      <c r="AI132" s="7">
        <v>0.0</v>
      </c>
      <c r="AJ132" s="7">
        <v>6.0</v>
      </c>
      <c r="AK132" s="7">
        <v>0.0</v>
      </c>
      <c r="AL132" s="7">
        <v>0.0</v>
      </c>
      <c r="AM132" s="7">
        <v>6.0</v>
      </c>
      <c r="AN132" s="8">
        <v>161.0</v>
      </c>
      <c r="AO132" s="4">
        <v>86.56</v>
      </c>
    </row>
    <row r="133">
      <c r="A133" s="3" t="s">
        <v>41</v>
      </c>
      <c r="B133" s="4">
        <v>40387.0</v>
      </c>
      <c r="C133" s="4" t="s">
        <v>127</v>
      </c>
      <c r="D133" s="4" t="s">
        <v>128</v>
      </c>
      <c r="E133" s="3" t="s">
        <v>44</v>
      </c>
      <c r="F133" s="4">
        <v>78237.0</v>
      </c>
      <c r="G133" s="3" t="s">
        <v>473</v>
      </c>
      <c r="H133" s="3" t="s">
        <v>474</v>
      </c>
      <c r="I133" s="4">
        <v>9.811173446E9</v>
      </c>
      <c r="J133" s="5">
        <v>45618.584641203706</v>
      </c>
      <c r="K133" s="5"/>
      <c r="L133" s="3" t="s">
        <v>328</v>
      </c>
      <c r="M133" s="3" t="s">
        <v>49</v>
      </c>
      <c r="N133" s="3" t="s">
        <v>50</v>
      </c>
      <c r="O133" s="3" t="s">
        <v>101</v>
      </c>
      <c r="P133" s="6">
        <v>46117.0</v>
      </c>
      <c r="Q133" s="7" t="s">
        <v>95</v>
      </c>
      <c r="R133" s="4">
        <v>1690.0</v>
      </c>
      <c r="S133" s="3" t="s">
        <v>476</v>
      </c>
      <c r="T133" s="3" t="s">
        <v>135</v>
      </c>
      <c r="U133" s="3" t="s">
        <v>136</v>
      </c>
      <c r="V133" s="3" t="s">
        <v>56</v>
      </c>
      <c r="W133" s="3" t="s">
        <v>57</v>
      </c>
      <c r="X133" s="3" t="s">
        <v>58</v>
      </c>
      <c r="Y133" s="3" t="s">
        <v>59</v>
      </c>
      <c r="Z133" s="4">
        <v>7.0</v>
      </c>
      <c r="AA133" s="3" t="s">
        <v>60</v>
      </c>
      <c r="AB133" s="7">
        <v>142.0</v>
      </c>
      <c r="AC133" s="7">
        <v>69.0</v>
      </c>
      <c r="AD133" s="7">
        <v>73.0</v>
      </c>
      <c r="AE133" s="7">
        <v>78.0</v>
      </c>
      <c r="AF133" s="7">
        <v>40.0</v>
      </c>
      <c r="AG133" s="7">
        <v>38.0</v>
      </c>
      <c r="AH133" s="7">
        <v>6.0</v>
      </c>
      <c r="AI133" s="7">
        <v>0.0</v>
      </c>
      <c r="AJ133" s="7">
        <v>6.0</v>
      </c>
      <c r="AK133" s="7">
        <v>0.0</v>
      </c>
      <c r="AL133" s="7">
        <v>0.0</v>
      </c>
      <c r="AM133" s="7">
        <v>6.0</v>
      </c>
      <c r="AN133" s="8">
        <v>206.0</v>
      </c>
      <c r="AO133" s="4">
        <v>88.03</v>
      </c>
    </row>
    <row r="134">
      <c r="A134" s="3" t="s">
        <v>41</v>
      </c>
      <c r="B134" s="4">
        <v>40285.0</v>
      </c>
      <c r="C134" s="9">
        <v>46026.0</v>
      </c>
      <c r="D134" s="4" t="s">
        <v>43</v>
      </c>
      <c r="E134" s="3" t="s">
        <v>44</v>
      </c>
      <c r="F134" s="4">
        <v>89782.0</v>
      </c>
      <c r="G134" s="3" t="s">
        <v>477</v>
      </c>
      <c r="H134" s="3" t="s">
        <v>478</v>
      </c>
      <c r="I134" s="3">
        <v>8.459130164E9</v>
      </c>
      <c r="J134" s="5">
        <v>46134.54574074074</v>
      </c>
      <c r="K134" s="3" t="s">
        <v>124</v>
      </c>
      <c r="L134" s="3" t="s">
        <v>94</v>
      </c>
      <c r="M134" s="3" t="s">
        <v>64</v>
      </c>
      <c r="N134" s="3" t="s">
        <v>50</v>
      </c>
      <c r="O134" s="3" t="s">
        <v>51</v>
      </c>
      <c r="P134" s="6">
        <v>46027.0</v>
      </c>
      <c r="Q134" s="7" t="s">
        <v>66</v>
      </c>
      <c r="R134" s="4">
        <v>1787.0</v>
      </c>
      <c r="S134" s="3" t="s">
        <v>78</v>
      </c>
      <c r="T134" s="3" t="s">
        <v>54</v>
      </c>
      <c r="U134" s="3" t="s">
        <v>79</v>
      </c>
      <c r="V134" s="3" t="s">
        <v>69</v>
      </c>
      <c r="W134" s="3" t="s">
        <v>70</v>
      </c>
      <c r="X134" s="3" t="s">
        <v>58</v>
      </c>
      <c r="Y134" s="3" t="s">
        <v>59</v>
      </c>
      <c r="Z134" s="4">
        <v>8.0</v>
      </c>
      <c r="AA134" s="3" t="s">
        <v>60</v>
      </c>
      <c r="AB134" s="7">
        <v>121.0</v>
      </c>
      <c r="AC134" s="7">
        <v>0.0</v>
      </c>
      <c r="AD134" s="7">
        <v>121.0</v>
      </c>
      <c r="AE134" s="7">
        <v>90.0</v>
      </c>
      <c r="AF134" s="7">
        <v>0.0</v>
      </c>
      <c r="AG134" s="7">
        <v>90.0</v>
      </c>
      <c r="AH134" s="7">
        <v>8.0</v>
      </c>
      <c r="AI134" s="7">
        <v>0.0</v>
      </c>
      <c r="AJ134" s="7">
        <v>8.0</v>
      </c>
      <c r="AK134" s="7">
        <v>0.0</v>
      </c>
      <c r="AL134" s="7">
        <v>0.0</v>
      </c>
      <c r="AM134" s="7">
        <v>8.0</v>
      </c>
      <c r="AN134" s="8">
        <v>280.0</v>
      </c>
      <c r="AO134" s="4">
        <v>100.0</v>
      </c>
    </row>
    <row r="135">
      <c r="A135" s="3" t="s">
        <v>41</v>
      </c>
      <c r="B135" s="4">
        <v>40278.0</v>
      </c>
      <c r="C135" s="9">
        <v>46026.0</v>
      </c>
      <c r="D135" s="4" t="s">
        <v>43</v>
      </c>
      <c r="E135" s="3" t="s">
        <v>44</v>
      </c>
      <c r="F135" s="4">
        <v>89830.0</v>
      </c>
      <c r="G135" s="3" t="s">
        <v>479</v>
      </c>
      <c r="H135" s="3" t="s">
        <v>480</v>
      </c>
      <c r="I135" s="4">
        <v>8.334944949E9</v>
      </c>
      <c r="J135" s="5">
        <v>46135.42144675926</v>
      </c>
      <c r="K135" s="3" t="s">
        <v>226</v>
      </c>
      <c r="L135" s="3" t="s">
        <v>161</v>
      </c>
      <c r="M135" s="3" t="s">
        <v>162</v>
      </c>
      <c r="N135" s="3" t="s">
        <v>50</v>
      </c>
      <c r="O135" s="3" t="s">
        <v>51</v>
      </c>
      <c r="P135" s="6">
        <v>46027.0</v>
      </c>
      <c r="Q135" s="7" t="s">
        <v>66</v>
      </c>
      <c r="R135" s="4">
        <v>1792.0</v>
      </c>
      <c r="S135" s="3" t="s">
        <v>275</v>
      </c>
      <c r="T135" s="3" t="s">
        <v>54</v>
      </c>
      <c r="U135" s="3" t="s">
        <v>79</v>
      </c>
      <c r="V135" s="3" t="s">
        <v>69</v>
      </c>
      <c r="W135" s="3" t="s">
        <v>70</v>
      </c>
      <c r="X135" s="3" t="s">
        <v>58</v>
      </c>
      <c r="Y135" s="3" t="s">
        <v>59</v>
      </c>
      <c r="Z135" s="4">
        <v>7.0</v>
      </c>
      <c r="AA135" s="3" t="s">
        <v>60</v>
      </c>
      <c r="AB135" s="7">
        <v>333.0</v>
      </c>
      <c r="AC135" s="7">
        <v>0.0</v>
      </c>
      <c r="AD135" s="7">
        <v>333.0</v>
      </c>
      <c r="AE135" s="7">
        <v>117.0</v>
      </c>
      <c r="AF135" s="7">
        <v>0.0</v>
      </c>
      <c r="AG135" s="7">
        <v>117.0</v>
      </c>
      <c r="AH135" s="7">
        <v>8.0</v>
      </c>
      <c r="AI135" s="7">
        <v>0.0</v>
      </c>
      <c r="AJ135" s="7">
        <v>8.0</v>
      </c>
      <c r="AK135" s="7">
        <v>0.0</v>
      </c>
      <c r="AL135" s="7">
        <v>0.0</v>
      </c>
      <c r="AM135" s="7">
        <v>8.0</v>
      </c>
      <c r="AN135" s="8">
        <v>125.0</v>
      </c>
      <c r="AO135" s="4">
        <v>97.66</v>
      </c>
    </row>
    <row r="136">
      <c r="A136" s="3" t="s">
        <v>41</v>
      </c>
      <c r="B136" s="4">
        <v>40236.0</v>
      </c>
      <c r="C136" s="9">
        <v>46026.0</v>
      </c>
      <c r="D136" s="4" t="s">
        <v>43</v>
      </c>
      <c r="E136" s="3" t="s">
        <v>44</v>
      </c>
      <c r="F136" s="4">
        <v>84709.0</v>
      </c>
      <c r="G136" s="3" t="s">
        <v>481</v>
      </c>
      <c r="H136" s="3" t="s">
        <v>482</v>
      </c>
      <c r="I136" s="3">
        <v>8.708004471E9</v>
      </c>
      <c r="J136" s="5">
        <v>45879.55731481482</v>
      </c>
      <c r="K136" s="3" t="s">
        <v>47</v>
      </c>
      <c r="L136" s="3" t="s">
        <v>168</v>
      </c>
      <c r="M136" s="3" t="s">
        <v>117</v>
      </c>
      <c r="N136" s="3" t="s">
        <v>50</v>
      </c>
      <c r="O136" s="3" t="s">
        <v>51</v>
      </c>
      <c r="P136" s="6">
        <v>46178.0</v>
      </c>
      <c r="Q136" s="7" t="s">
        <v>125</v>
      </c>
      <c r="R136" s="4">
        <v>1774.0</v>
      </c>
      <c r="S136" s="3" t="s">
        <v>102</v>
      </c>
      <c r="T136" s="3" t="s">
        <v>54</v>
      </c>
      <c r="U136" s="3" t="s">
        <v>79</v>
      </c>
      <c r="V136" s="3" t="s">
        <v>69</v>
      </c>
      <c r="W136" s="3" t="s">
        <v>70</v>
      </c>
      <c r="X136" s="3" t="s">
        <v>58</v>
      </c>
      <c r="Y136" s="3" t="s">
        <v>59</v>
      </c>
      <c r="Z136" s="4">
        <v>8.0</v>
      </c>
      <c r="AA136" s="3" t="s">
        <v>80</v>
      </c>
      <c r="AB136" s="7">
        <v>104.0</v>
      </c>
      <c r="AC136" s="7">
        <v>0.0</v>
      </c>
      <c r="AD136" s="7">
        <v>104.0</v>
      </c>
      <c r="AE136" s="7">
        <v>65.0</v>
      </c>
      <c r="AF136" s="7">
        <v>0.0</v>
      </c>
      <c r="AG136" s="7">
        <v>65.0</v>
      </c>
      <c r="AH136" s="7">
        <v>7.0</v>
      </c>
      <c r="AI136" s="7">
        <v>0.0</v>
      </c>
      <c r="AJ136" s="7">
        <v>7.0</v>
      </c>
      <c r="AK136" s="7">
        <v>0.0</v>
      </c>
      <c r="AL136" s="7">
        <v>0.0</v>
      </c>
      <c r="AM136" s="7">
        <v>7.0</v>
      </c>
      <c r="AN136" s="8">
        <v>172.0</v>
      </c>
      <c r="AO136" s="4">
        <v>79.26</v>
      </c>
    </row>
    <row r="137">
      <c r="A137" s="3" t="s">
        <v>41</v>
      </c>
      <c r="B137" s="4">
        <v>40404.0</v>
      </c>
      <c r="C137" s="4" t="s">
        <v>127</v>
      </c>
      <c r="D137" s="4" t="s">
        <v>128</v>
      </c>
      <c r="E137" s="3" t="s">
        <v>244</v>
      </c>
      <c r="F137" s="4">
        <v>86865.0</v>
      </c>
      <c r="G137" s="3" t="s">
        <v>483</v>
      </c>
      <c r="H137" s="3" t="s">
        <v>484</v>
      </c>
      <c r="I137" s="4">
        <v>7.058889066E9</v>
      </c>
      <c r="J137" s="5">
        <v>45975.707662037035</v>
      </c>
      <c r="K137" s="3" t="s">
        <v>47</v>
      </c>
      <c r="L137" s="3" t="s">
        <v>94</v>
      </c>
      <c r="M137" s="3" t="s">
        <v>64</v>
      </c>
      <c r="N137" s="3" t="s">
        <v>50</v>
      </c>
      <c r="O137" s="3" t="s">
        <v>65</v>
      </c>
      <c r="P137" s="6">
        <v>46178.0</v>
      </c>
      <c r="Q137" s="7" t="s">
        <v>485</v>
      </c>
      <c r="R137" s="4">
        <v>116.0</v>
      </c>
      <c r="S137" s="3" t="s">
        <v>486</v>
      </c>
      <c r="T137" s="3" t="s">
        <v>135</v>
      </c>
      <c r="U137" s="3" t="s">
        <v>164</v>
      </c>
      <c r="V137" s="3" t="s">
        <v>56</v>
      </c>
      <c r="W137" s="3" t="s">
        <v>57</v>
      </c>
      <c r="X137" s="3" t="s">
        <v>58</v>
      </c>
      <c r="Y137" s="3" t="s">
        <v>59</v>
      </c>
      <c r="Z137" s="4">
        <v>7.0</v>
      </c>
      <c r="AA137" s="3" t="s">
        <v>60</v>
      </c>
      <c r="AB137" s="7">
        <v>79.0</v>
      </c>
      <c r="AC137" s="7">
        <v>0.0</v>
      </c>
      <c r="AD137" s="7">
        <v>79.0</v>
      </c>
      <c r="AE137" s="7">
        <v>75.0</v>
      </c>
      <c r="AF137" s="7">
        <v>0.0</v>
      </c>
      <c r="AG137" s="7">
        <v>75.0</v>
      </c>
      <c r="AH137" s="7">
        <v>4.0</v>
      </c>
      <c r="AI137" s="7">
        <v>0.0</v>
      </c>
      <c r="AJ137" s="7">
        <v>4.0</v>
      </c>
      <c r="AK137" s="7">
        <v>0.0</v>
      </c>
      <c r="AL137" s="7">
        <v>0.0</v>
      </c>
      <c r="AM137" s="7">
        <v>4.0</v>
      </c>
      <c r="AN137" s="8">
        <v>144.0</v>
      </c>
      <c r="AO137" s="4">
        <v>100.0</v>
      </c>
    </row>
    <row r="138">
      <c r="A138" s="3" t="s">
        <v>41</v>
      </c>
      <c r="B138" s="4">
        <v>40344.0</v>
      </c>
      <c r="C138" s="9">
        <v>46026.0</v>
      </c>
      <c r="D138" s="4" t="s">
        <v>43</v>
      </c>
      <c r="E138" s="3" t="s">
        <v>44</v>
      </c>
      <c r="F138" s="4">
        <v>89788.0</v>
      </c>
      <c r="G138" s="3" t="s">
        <v>487</v>
      </c>
      <c r="H138" s="3" t="s">
        <v>488</v>
      </c>
      <c r="I138" s="4">
        <v>9.558887449E9</v>
      </c>
      <c r="J138" s="5">
        <v>46134.564479166664</v>
      </c>
      <c r="K138" s="3" t="s">
        <v>124</v>
      </c>
      <c r="L138" s="3" t="s">
        <v>149</v>
      </c>
      <c r="M138" s="3" t="s">
        <v>150</v>
      </c>
      <c r="N138" s="3" t="s">
        <v>50</v>
      </c>
      <c r="O138" s="3" t="s">
        <v>51</v>
      </c>
      <c r="P138" s="6">
        <v>46117.0</v>
      </c>
      <c r="Q138" s="7" t="s">
        <v>106</v>
      </c>
      <c r="R138" s="4">
        <v>1776.0</v>
      </c>
      <c r="S138" s="3" t="s">
        <v>298</v>
      </c>
      <c r="T138" s="3" t="s">
        <v>54</v>
      </c>
      <c r="U138" s="3" t="s">
        <v>79</v>
      </c>
      <c r="V138" s="3" t="s">
        <v>69</v>
      </c>
      <c r="W138" s="3" t="s">
        <v>70</v>
      </c>
      <c r="X138" s="3" t="s">
        <v>58</v>
      </c>
      <c r="Y138" s="3" t="s">
        <v>59</v>
      </c>
      <c r="Z138" s="4">
        <v>6.0</v>
      </c>
      <c r="AA138" s="3" t="s">
        <v>80</v>
      </c>
      <c r="AB138" s="7">
        <v>122.0</v>
      </c>
      <c r="AC138" s="7">
        <v>0.0</v>
      </c>
      <c r="AD138" s="7">
        <v>122.0</v>
      </c>
      <c r="AE138" s="7">
        <v>97.0</v>
      </c>
      <c r="AF138" s="7">
        <v>0.0</v>
      </c>
      <c r="AG138" s="7">
        <v>97.0</v>
      </c>
      <c r="AH138" s="7">
        <v>8.0</v>
      </c>
      <c r="AI138" s="7">
        <v>0.0</v>
      </c>
      <c r="AJ138" s="7">
        <v>8.0</v>
      </c>
      <c r="AK138" s="7">
        <v>0.0</v>
      </c>
      <c r="AL138" s="7">
        <v>0.0</v>
      </c>
      <c r="AM138" s="7">
        <v>8.0</v>
      </c>
      <c r="AN138" s="8">
        <v>222.0</v>
      </c>
      <c r="AO138" s="4">
        <v>95.69</v>
      </c>
    </row>
    <row r="139">
      <c r="A139" s="3" t="s">
        <v>41</v>
      </c>
      <c r="B139" s="4">
        <v>40252.0</v>
      </c>
      <c r="C139" s="9">
        <v>46026.0</v>
      </c>
      <c r="D139" s="4" t="s">
        <v>43</v>
      </c>
      <c r="E139" s="3" t="s">
        <v>44</v>
      </c>
      <c r="F139" s="4">
        <v>73654.0</v>
      </c>
      <c r="G139" s="3" t="s">
        <v>489</v>
      </c>
      <c r="H139" s="3" t="s">
        <v>490</v>
      </c>
      <c r="I139" s="4">
        <v>9.198945959E9</v>
      </c>
      <c r="J139" s="5">
        <v>45473.567407407405</v>
      </c>
      <c r="K139" s="3" t="s">
        <v>201</v>
      </c>
      <c r="L139" s="3" t="s">
        <v>202</v>
      </c>
      <c r="M139" s="3" t="s">
        <v>54</v>
      </c>
      <c r="N139" s="3" t="s">
        <v>50</v>
      </c>
      <c r="O139" s="3" t="s">
        <v>101</v>
      </c>
      <c r="P139" s="6">
        <v>46178.0</v>
      </c>
      <c r="Q139" s="7" t="s">
        <v>125</v>
      </c>
      <c r="R139" s="4">
        <v>1784.0</v>
      </c>
      <c r="S139" s="3" t="s">
        <v>342</v>
      </c>
      <c r="T139" s="3" t="s">
        <v>54</v>
      </c>
      <c r="U139" s="3" t="s">
        <v>79</v>
      </c>
      <c r="V139" s="3" t="s">
        <v>69</v>
      </c>
      <c r="W139" s="3" t="s">
        <v>70</v>
      </c>
      <c r="X139" s="3" t="s">
        <v>58</v>
      </c>
      <c r="Y139" s="3" t="s">
        <v>59</v>
      </c>
      <c r="Z139" s="4">
        <v>6.0</v>
      </c>
      <c r="AA139" s="3" t="s">
        <v>80</v>
      </c>
      <c r="AB139" s="7">
        <v>248.0</v>
      </c>
      <c r="AC139" s="7">
        <v>0.0</v>
      </c>
      <c r="AD139" s="7">
        <v>248.0</v>
      </c>
      <c r="AE139" s="7">
        <v>138.0</v>
      </c>
      <c r="AF139" s="7">
        <v>0.0</v>
      </c>
      <c r="AG139" s="7">
        <v>138.0</v>
      </c>
      <c r="AH139" s="7">
        <v>7.0</v>
      </c>
      <c r="AI139" s="7">
        <v>0.0</v>
      </c>
      <c r="AJ139" s="7">
        <v>7.0</v>
      </c>
      <c r="AK139" s="7">
        <v>0.0</v>
      </c>
      <c r="AL139" s="7">
        <v>0.0</v>
      </c>
      <c r="AM139" s="7">
        <v>7.0</v>
      </c>
      <c r="AN139" s="8">
        <v>70.0</v>
      </c>
      <c r="AO139" s="4">
        <v>100.0</v>
      </c>
    </row>
    <row r="140">
      <c r="A140" s="3" t="s">
        <v>41</v>
      </c>
      <c r="B140" s="4">
        <v>40286.0</v>
      </c>
      <c r="C140" s="9">
        <v>46026.0</v>
      </c>
      <c r="D140" s="4" t="s">
        <v>43</v>
      </c>
      <c r="E140" s="3" t="s">
        <v>44</v>
      </c>
      <c r="F140" s="4">
        <v>73642.0</v>
      </c>
      <c r="G140" s="3" t="s">
        <v>491</v>
      </c>
      <c r="H140" s="3" t="s">
        <v>492</v>
      </c>
      <c r="I140" s="4">
        <v>7.27514884E9</v>
      </c>
      <c r="J140" s="5">
        <v>45473.565034722225</v>
      </c>
      <c r="K140" s="3" t="s">
        <v>201</v>
      </c>
      <c r="L140" s="3" t="s">
        <v>202</v>
      </c>
      <c r="M140" s="3" t="s">
        <v>54</v>
      </c>
      <c r="N140" s="3" t="s">
        <v>50</v>
      </c>
      <c r="O140" s="3" t="s">
        <v>101</v>
      </c>
      <c r="P140" s="6">
        <v>46178.0</v>
      </c>
      <c r="Q140" s="7" t="s">
        <v>125</v>
      </c>
      <c r="R140" s="4">
        <v>1789.0</v>
      </c>
      <c r="S140" s="3" t="s">
        <v>142</v>
      </c>
      <c r="T140" s="3" t="s">
        <v>54</v>
      </c>
      <c r="U140" s="3" t="s">
        <v>79</v>
      </c>
      <c r="V140" s="3" t="s">
        <v>69</v>
      </c>
      <c r="W140" s="3" t="s">
        <v>70</v>
      </c>
      <c r="X140" s="3" t="s">
        <v>58</v>
      </c>
      <c r="Y140" s="3" t="s">
        <v>59</v>
      </c>
      <c r="Z140" s="4">
        <v>6.0</v>
      </c>
      <c r="AA140" s="3" t="s">
        <v>80</v>
      </c>
      <c r="AB140" s="7">
        <v>91.0</v>
      </c>
      <c r="AC140" s="7">
        <v>0.0</v>
      </c>
      <c r="AD140" s="7">
        <v>91.0</v>
      </c>
      <c r="AE140" s="7">
        <v>58.0</v>
      </c>
      <c r="AF140" s="7">
        <v>0.0</v>
      </c>
      <c r="AG140" s="7">
        <v>58.0</v>
      </c>
      <c r="AH140" s="7">
        <v>7.0</v>
      </c>
      <c r="AI140" s="7">
        <v>0.0</v>
      </c>
      <c r="AJ140" s="7">
        <v>7.0</v>
      </c>
      <c r="AK140" s="7">
        <v>0.0</v>
      </c>
      <c r="AL140" s="7">
        <v>0.0</v>
      </c>
      <c r="AM140" s="7">
        <v>7.0</v>
      </c>
      <c r="AN140" s="8">
        <v>69.0</v>
      </c>
      <c r="AO140" s="4">
        <v>75.82</v>
      </c>
    </row>
    <row r="141">
      <c r="A141" s="3" t="s">
        <v>41</v>
      </c>
      <c r="B141" s="4">
        <v>40242.0</v>
      </c>
      <c r="C141" s="9">
        <v>46026.0</v>
      </c>
      <c r="D141" s="4" t="s">
        <v>43</v>
      </c>
      <c r="E141" s="3" t="s">
        <v>44</v>
      </c>
      <c r="F141" s="4">
        <v>25910.0</v>
      </c>
      <c r="G141" s="3" t="s">
        <v>493</v>
      </c>
      <c r="H141" s="3" t="s">
        <v>494</v>
      </c>
      <c r="I141" s="4">
        <v>9.901544112E9</v>
      </c>
      <c r="J141" s="5">
        <v>43424.17145833333</v>
      </c>
      <c r="K141" s="3" t="s">
        <v>466</v>
      </c>
      <c r="L141" s="3" t="s">
        <v>161</v>
      </c>
      <c r="M141" s="3" t="s">
        <v>162</v>
      </c>
      <c r="N141" s="3" t="s">
        <v>50</v>
      </c>
      <c r="O141" s="3" t="s">
        <v>495</v>
      </c>
      <c r="P141" s="6">
        <v>46117.0</v>
      </c>
      <c r="Q141" s="7" t="s">
        <v>125</v>
      </c>
      <c r="R141" s="4">
        <v>1791.0</v>
      </c>
      <c r="S141" s="3" t="s">
        <v>67</v>
      </c>
      <c r="T141" s="3" t="s">
        <v>54</v>
      </c>
      <c r="U141" s="3" t="s">
        <v>68</v>
      </c>
      <c r="V141" s="3" t="s">
        <v>69</v>
      </c>
      <c r="W141" s="3" t="s">
        <v>70</v>
      </c>
      <c r="X141" s="3" t="s">
        <v>58</v>
      </c>
      <c r="Y141" s="3" t="s">
        <v>59</v>
      </c>
      <c r="Z141" s="4">
        <v>8.0</v>
      </c>
      <c r="AA141" s="3" t="s">
        <v>80</v>
      </c>
      <c r="AB141" s="7">
        <v>127.0</v>
      </c>
      <c r="AC141" s="7">
        <v>0.0</v>
      </c>
      <c r="AD141" s="7">
        <v>127.0</v>
      </c>
      <c r="AE141" s="7">
        <v>92.0</v>
      </c>
      <c r="AF141" s="7">
        <v>0.0</v>
      </c>
      <c r="AG141" s="7">
        <v>92.0</v>
      </c>
      <c r="AH141" s="7">
        <v>8.0</v>
      </c>
      <c r="AI141" s="7">
        <v>0.0</v>
      </c>
      <c r="AJ141" s="7">
        <v>8.0</v>
      </c>
      <c r="AK141" s="7">
        <v>0.0</v>
      </c>
      <c r="AL141" s="7">
        <v>0.0</v>
      </c>
      <c r="AM141" s="7">
        <v>8.0</v>
      </c>
      <c r="AN141" s="8">
        <v>294.0</v>
      </c>
      <c r="AO141" s="4">
        <v>100.0</v>
      </c>
    </row>
    <row r="142">
      <c r="A142" s="3" t="s">
        <v>41</v>
      </c>
      <c r="B142" s="4">
        <v>40333.0</v>
      </c>
      <c r="C142" s="9">
        <v>46026.0</v>
      </c>
      <c r="D142" s="4" t="s">
        <v>43</v>
      </c>
      <c r="E142" s="3" t="s">
        <v>44</v>
      </c>
      <c r="F142" s="4">
        <v>89749.0</v>
      </c>
      <c r="G142" s="3" t="s">
        <v>496</v>
      </c>
      <c r="H142" s="3" t="s">
        <v>497</v>
      </c>
      <c r="I142" s="4">
        <v>8.949507332E9</v>
      </c>
      <c r="J142" s="5">
        <v>46134.53224537037</v>
      </c>
      <c r="K142" s="3" t="s">
        <v>124</v>
      </c>
      <c r="L142" s="3" t="s">
        <v>139</v>
      </c>
      <c r="M142" s="3" t="s">
        <v>140</v>
      </c>
      <c r="N142" s="3" t="s">
        <v>50</v>
      </c>
      <c r="O142" s="3" t="s">
        <v>51</v>
      </c>
      <c r="P142" s="6">
        <v>46117.0</v>
      </c>
      <c r="Q142" s="7" t="s">
        <v>106</v>
      </c>
      <c r="R142" s="4">
        <v>1788.0</v>
      </c>
      <c r="S142" s="3" t="s">
        <v>230</v>
      </c>
      <c r="T142" s="3" t="s">
        <v>54</v>
      </c>
      <c r="U142" s="3" t="s">
        <v>79</v>
      </c>
      <c r="V142" s="3" t="s">
        <v>69</v>
      </c>
      <c r="W142" s="3" t="s">
        <v>70</v>
      </c>
      <c r="X142" s="3" t="s">
        <v>58</v>
      </c>
      <c r="Y142" s="3" t="s">
        <v>59</v>
      </c>
      <c r="Z142" s="4">
        <v>7.0</v>
      </c>
      <c r="AA142" s="3" t="s">
        <v>146</v>
      </c>
      <c r="AB142" s="7">
        <v>65.0</v>
      </c>
      <c r="AC142" s="7">
        <v>0.0</v>
      </c>
      <c r="AD142" s="7">
        <v>65.0</v>
      </c>
      <c r="AE142" s="7">
        <v>41.0</v>
      </c>
      <c r="AF142" s="7">
        <v>0.0</v>
      </c>
      <c r="AG142" s="7">
        <v>41.0</v>
      </c>
      <c r="AH142" s="7">
        <v>8.0</v>
      </c>
      <c r="AI142" s="7">
        <v>0.0</v>
      </c>
      <c r="AJ142" s="7">
        <v>8.0</v>
      </c>
      <c r="AK142" s="7">
        <v>0.0</v>
      </c>
      <c r="AL142" s="7">
        <v>0.0</v>
      </c>
      <c r="AM142" s="7">
        <v>8.0</v>
      </c>
      <c r="AN142" s="8">
        <v>45.0</v>
      </c>
      <c r="AO142" s="4">
        <v>93.75</v>
      </c>
    </row>
    <row r="143">
      <c r="A143" s="3" t="s">
        <v>41</v>
      </c>
      <c r="B143" s="4">
        <v>40316.0</v>
      </c>
      <c r="C143" s="9">
        <v>46026.0</v>
      </c>
      <c r="D143" s="4" t="s">
        <v>43</v>
      </c>
      <c r="E143" s="3" t="s">
        <v>44</v>
      </c>
      <c r="F143" s="4">
        <v>73647.0</v>
      </c>
      <c r="G143" s="3" t="s">
        <v>498</v>
      </c>
      <c r="H143" s="3" t="s">
        <v>499</v>
      </c>
      <c r="I143" s="4">
        <v>7.985248598E9</v>
      </c>
      <c r="J143" s="5">
        <v>45473.56621527778</v>
      </c>
      <c r="K143" s="3" t="s">
        <v>201</v>
      </c>
      <c r="L143" s="3" t="s">
        <v>253</v>
      </c>
      <c r="M143" s="3" t="s">
        <v>54</v>
      </c>
      <c r="N143" s="3" t="s">
        <v>50</v>
      </c>
      <c r="O143" s="3" t="s">
        <v>101</v>
      </c>
      <c r="P143" s="6">
        <v>46208.0</v>
      </c>
      <c r="Q143" s="7" t="s">
        <v>77</v>
      </c>
      <c r="R143" s="4">
        <v>1781.0</v>
      </c>
      <c r="S143" s="3" t="s">
        <v>205</v>
      </c>
      <c r="T143" s="3" t="s">
        <v>54</v>
      </c>
      <c r="U143" s="3" t="s">
        <v>68</v>
      </c>
      <c r="V143" s="3" t="s">
        <v>69</v>
      </c>
      <c r="W143" s="3" t="s">
        <v>70</v>
      </c>
      <c r="X143" s="3" t="s">
        <v>58</v>
      </c>
      <c r="Y143" s="3" t="s">
        <v>59</v>
      </c>
      <c r="Z143" s="4">
        <v>8.0</v>
      </c>
      <c r="AA143" s="3" t="s">
        <v>80</v>
      </c>
      <c r="AB143" s="7">
        <v>108.0</v>
      </c>
      <c r="AC143" s="7">
        <v>0.0</v>
      </c>
      <c r="AD143" s="7">
        <v>108.0</v>
      </c>
      <c r="AE143" s="7">
        <v>75.0</v>
      </c>
      <c r="AF143" s="7">
        <v>0.0</v>
      </c>
      <c r="AG143" s="7">
        <v>75.0</v>
      </c>
      <c r="AH143" s="7">
        <v>7.0</v>
      </c>
      <c r="AI143" s="7">
        <v>0.0</v>
      </c>
      <c r="AJ143" s="7">
        <v>7.0</v>
      </c>
      <c r="AK143" s="7">
        <v>0.0</v>
      </c>
      <c r="AL143" s="7">
        <v>0.0</v>
      </c>
      <c r="AM143" s="7">
        <v>7.0</v>
      </c>
      <c r="AN143" s="8">
        <v>231.0</v>
      </c>
      <c r="AO143" s="4">
        <v>97.06</v>
      </c>
    </row>
    <row r="144">
      <c r="A144" s="3" t="s">
        <v>41</v>
      </c>
      <c r="B144" s="4">
        <v>40319.0</v>
      </c>
      <c r="C144" s="9">
        <v>46026.0</v>
      </c>
      <c r="D144" s="4" t="s">
        <v>43</v>
      </c>
      <c r="E144" s="3" t="s">
        <v>44</v>
      </c>
      <c r="F144" s="4">
        <v>73647.0</v>
      </c>
      <c r="G144" s="3" t="s">
        <v>498</v>
      </c>
      <c r="H144" s="3" t="s">
        <v>499</v>
      </c>
      <c r="I144" s="4">
        <v>7.985248598E9</v>
      </c>
      <c r="J144" s="5">
        <v>45473.56621527778</v>
      </c>
      <c r="K144" s="3" t="s">
        <v>201</v>
      </c>
      <c r="L144" s="3" t="s">
        <v>253</v>
      </c>
      <c r="M144" s="3" t="s">
        <v>54</v>
      </c>
      <c r="N144" s="3" t="s">
        <v>50</v>
      </c>
      <c r="O144" s="3" t="s">
        <v>101</v>
      </c>
      <c r="P144" s="6">
        <v>46239.0</v>
      </c>
      <c r="Q144" s="7" t="s">
        <v>66</v>
      </c>
      <c r="R144" s="4">
        <v>1781.0</v>
      </c>
      <c r="S144" s="3" t="s">
        <v>205</v>
      </c>
      <c r="T144" s="3" t="s">
        <v>54</v>
      </c>
      <c r="U144" s="3" t="s">
        <v>68</v>
      </c>
      <c r="V144" s="3" t="s">
        <v>69</v>
      </c>
      <c r="W144" s="3" t="s">
        <v>70</v>
      </c>
      <c r="X144" s="3" t="s">
        <v>58</v>
      </c>
      <c r="Y144" s="3" t="s">
        <v>59</v>
      </c>
      <c r="Z144" s="4">
        <v>8.0</v>
      </c>
      <c r="AA144" s="3" t="s">
        <v>60</v>
      </c>
      <c r="AB144" s="7">
        <v>108.0</v>
      </c>
      <c r="AC144" s="7">
        <v>0.0</v>
      </c>
      <c r="AD144" s="7">
        <v>108.0</v>
      </c>
      <c r="AE144" s="7">
        <v>75.0</v>
      </c>
      <c r="AF144" s="7">
        <v>0.0</v>
      </c>
      <c r="AG144" s="7">
        <v>75.0</v>
      </c>
      <c r="AH144" s="7">
        <v>6.0</v>
      </c>
      <c r="AI144" s="7">
        <v>0.0</v>
      </c>
      <c r="AJ144" s="7">
        <v>6.0</v>
      </c>
      <c r="AK144" s="7">
        <v>0.0</v>
      </c>
      <c r="AL144" s="7">
        <v>0.0</v>
      </c>
      <c r="AM144" s="7">
        <v>6.0</v>
      </c>
      <c r="AN144" s="8">
        <v>202.0</v>
      </c>
      <c r="AO144" s="4">
        <v>99.02</v>
      </c>
    </row>
    <row r="145">
      <c r="A145" s="3" t="s">
        <v>41</v>
      </c>
      <c r="B145" s="4">
        <v>40235.0</v>
      </c>
      <c r="C145" s="9">
        <v>46026.0</v>
      </c>
      <c r="D145" s="4" t="s">
        <v>43</v>
      </c>
      <c r="E145" s="3" t="s">
        <v>44</v>
      </c>
      <c r="F145" s="4">
        <v>88680.0</v>
      </c>
      <c r="G145" s="3" t="s">
        <v>500</v>
      </c>
      <c r="H145" s="3" t="s">
        <v>501</v>
      </c>
      <c r="I145" s="4">
        <v>7.02750105E9</v>
      </c>
      <c r="J145" s="5">
        <v>46069.81927083333</v>
      </c>
      <c r="K145" s="3" t="s">
        <v>502</v>
      </c>
      <c r="L145" s="3" t="s">
        <v>503</v>
      </c>
      <c r="M145" s="3" t="s">
        <v>117</v>
      </c>
      <c r="N145" s="3" t="s">
        <v>50</v>
      </c>
      <c r="O145" s="3" t="s">
        <v>51</v>
      </c>
      <c r="P145" s="6">
        <v>46117.0</v>
      </c>
      <c r="Q145" s="7" t="s">
        <v>125</v>
      </c>
      <c r="R145" s="4">
        <v>1774.0</v>
      </c>
      <c r="S145" s="3" t="s">
        <v>102</v>
      </c>
      <c r="T145" s="3" t="s">
        <v>54</v>
      </c>
      <c r="U145" s="3" t="s">
        <v>79</v>
      </c>
      <c r="V145" s="3" t="s">
        <v>69</v>
      </c>
      <c r="W145" s="3" t="s">
        <v>70</v>
      </c>
      <c r="X145" s="3" t="s">
        <v>58</v>
      </c>
      <c r="Y145" s="3" t="s">
        <v>59</v>
      </c>
      <c r="Z145" s="4">
        <v>7.0</v>
      </c>
      <c r="AA145" s="3" t="s">
        <v>146</v>
      </c>
      <c r="AB145" s="7">
        <v>104.0</v>
      </c>
      <c r="AC145" s="7">
        <v>0.0</v>
      </c>
      <c r="AD145" s="7">
        <v>104.0</v>
      </c>
      <c r="AE145" s="7">
        <v>65.0</v>
      </c>
      <c r="AF145" s="7">
        <v>0.0</v>
      </c>
      <c r="AG145" s="7">
        <v>65.0</v>
      </c>
      <c r="AH145" s="7">
        <v>8.0</v>
      </c>
      <c r="AI145" s="7">
        <v>0.0</v>
      </c>
      <c r="AJ145" s="7">
        <v>8.0</v>
      </c>
      <c r="AK145" s="7">
        <v>0.0</v>
      </c>
      <c r="AL145" s="7">
        <v>0.0</v>
      </c>
      <c r="AM145" s="7">
        <v>8.0</v>
      </c>
      <c r="AN145" s="8">
        <v>137.0</v>
      </c>
      <c r="AO145" s="4">
        <v>77.84</v>
      </c>
    </row>
    <row r="146">
      <c r="A146" s="3" t="s">
        <v>41</v>
      </c>
      <c r="B146" s="4">
        <v>40331.0</v>
      </c>
      <c r="C146" s="9">
        <v>46026.0</v>
      </c>
      <c r="D146" s="4" t="s">
        <v>43</v>
      </c>
      <c r="E146" s="3" t="s">
        <v>44</v>
      </c>
      <c r="F146" s="4">
        <v>89791.0</v>
      </c>
      <c r="G146" s="3" t="s">
        <v>504</v>
      </c>
      <c r="H146" s="3" t="s">
        <v>505</v>
      </c>
      <c r="I146" s="4">
        <v>9.096802118E9</v>
      </c>
      <c r="J146" s="5">
        <v>46134.57046296296</v>
      </c>
      <c r="K146" s="3" t="s">
        <v>124</v>
      </c>
      <c r="L146" s="3" t="s">
        <v>94</v>
      </c>
      <c r="M146" s="3" t="s">
        <v>64</v>
      </c>
      <c r="N146" s="3" t="s">
        <v>50</v>
      </c>
      <c r="O146" s="3" t="s">
        <v>51</v>
      </c>
      <c r="P146" s="6">
        <v>46027.0</v>
      </c>
      <c r="Q146" s="7" t="s">
        <v>66</v>
      </c>
      <c r="R146" s="4">
        <v>1782.0</v>
      </c>
      <c r="S146" s="3" t="s">
        <v>281</v>
      </c>
      <c r="T146" s="3" t="s">
        <v>54</v>
      </c>
      <c r="U146" s="3" t="s">
        <v>68</v>
      </c>
      <c r="V146" s="3" t="s">
        <v>69</v>
      </c>
      <c r="W146" s="3" t="s">
        <v>70</v>
      </c>
      <c r="X146" s="3" t="s">
        <v>58</v>
      </c>
      <c r="Y146" s="3" t="s">
        <v>59</v>
      </c>
      <c r="Z146" s="4">
        <v>8.0</v>
      </c>
      <c r="AA146" s="3" t="s">
        <v>60</v>
      </c>
      <c r="AB146" s="7">
        <v>112.0</v>
      </c>
      <c r="AC146" s="7">
        <v>0.0</v>
      </c>
      <c r="AD146" s="7">
        <v>112.0</v>
      </c>
      <c r="AE146" s="7">
        <v>74.0</v>
      </c>
      <c r="AF146" s="7">
        <v>0.0</v>
      </c>
      <c r="AG146" s="7">
        <v>74.0</v>
      </c>
      <c r="AH146" s="7">
        <v>8.0</v>
      </c>
      <c r="AI146" s="7">
        <v>0.0</v>
      </c>
      <c r="AJ146" s="7">
        <v>8.0</v>
      </c>
      <c r="AK146" s="7">
        <v>0.0</v>
      </c>
      <c r="AL146" s="7">
        <v>0.0</v>
      </c>
      <c r="AM146" s="7">
        <v>8.0</v>
      </c>
      <c r="AN146" s="8">
        <v>139.0</v>
      </c>
      <c r="AO146" s="4">
        <v>33.7</v>
      </c>
    </row>
    <row r="147">
      <c r="A147" s="3" t="s">
        <v>41</v>
      </c>
      <c r="B147" s="4">
        <v>40401.0</v>
      </c>
      <c r="C147" s="9">
        <v>46026.0</v>
      </c>
      <c r="D147" s="4" t="s">
        <v>91</v>
      </c>
      <c r="E147" s="3" t="s">
        <v>44</v>
      </c>
      <c r="F147" s="4">
        <v>54665.0</v>
      </c>
      <c r="G147" s="3" t="s">
        <v>506</v>
      </c>
      <c r="H147" s="3" t="s">
        <v>507</v>
      </c>
      <c r="I147" s="4">
        <v>9.850088907E9</v>
      </c>
      <c r="J147" s="5">
        <v>44534.481087962966</v>
      </c>
      <c r="K147" s="3" t="s">
        <v>47</v>
      </c>
      <c r="L147" s="3" t="s">
        <v>508</v>
      </c>
      <c r="M147" s="3" t="s">
        <v>112</v>
      </c>
      <c r="N147" s="3" t="s">
        <v>50</v>
      </c>
      <c r="O147" s="3" t="s">
        <v>249</v>
      </c>
      <c r="P147" s="6">
        <v>46147.0</v>
      </c>
      <c r="Q147" s="7" t="s">
        <v>52</v>
      </c>
      <c r="R147" s="4">
        <v>1274.0</v>
      </c>
      <c r="S147" s="3" t="s">
        <v>134</v>
      </c>
      <c r="T147" s="3" t="s">
        <v>135</v>
      </c>
      <c r="U147" s="3" t="s">
        <v>136</v>
      </c>
      <c r="V147" s="3" t="s">
        <v>56</v>
      </c>
      <c r="W147" s="3" t="s">
        <v>57</v>
      </c>
      <c r="X147" s="3" t="s">
        <v>58</v>
      </c>
      <c r="Y147" s="3" t="s">
        <v>59</v>
      </c>
      <c r="Z147" s="4">
        <v>9.0</v>
      </c>
      <c r="AA147" s="3" t="s">
        <v>60</v>
      </c>
      <c r="AB147" s="7">
        <v>157.0</v>
      </c>
      <c r="AC147" s="7">
        <v>71.0</v>
      </c>
      <c r="AD147" s="7">
        <v>86.0</v>
      </c>
      <c r="AE147" s="7">
        <v>108.0</v>
      </c>
      <c r="AF147" s="7">
        <v>49.0</v>
      </c>
      <c r="AG147" s="7">
        <v>59.0</v>
      </c>
      <c r="AH147" s="7">
        <v>6.0</v>
      </c>
      <c r="AI147" s="7">
        <v>0.0</v>
      </c>
      <c r="AJ147" s="7">
        <v>6.0</v>
      </c>
      <c r="AK147" s="7">
        <v>0.0</v>
      </c>
      <c r="AL147" s="7">
        <v>0.0</v>
      </c>
      <c r="AM147" s="7">
        <v>6.0</v>
      </c>
      <c r="AN147" s="8">
        <v>89.0</v>
      </c>
      <c r="AO147" s="4">
        <v>30.9</v>
      </c>
    </row>
    <row r="148">
      <c r="A148" s="3" t="s">
        <v>41</v>
      </c>
      <c r="B148" s="4">
        <v>40402.0</v>
      </c>
      <c r="C148" s="4" t="s">
        <v>127</v>
      </c>
      <c r="D148" s="4" t="s">
        <v>128</v>
      </c>
      <c r="E148" s="3" t="s">
        <v>244</v>
      </c>
      <c r="F148" s="4">
        <v>79138.0</v>
      </c>
      <c r="G148" s="3" t="s">
        <v>509</v>
      </c>
      <c r="H148" s="3" t="s">
        <v>510</v>
      </c>
      <c r="I148" s="4">
        <v>8.287801582E9</v>
      </c>
      <c r="J148" s="5">
        <v>45643.528715277775</v>
      </c>
      <c r="K148" s="3" t="s">
        <v>511</v>
      </c>
      <c r="L148" s="3" t="s">
        <v>512</v>
      </c>
      <c r="M148" s="3" t="s">
        <v>157</v>
      </c>
      <c r="N148" s="3" t="s">
        <v>50</v>
      </c>
      <c r="O148" s="3" t="s">
        <v>101</v>
      </c>
      <c r="P148" s="6">
        <v>46117.0</v>
      </c>
      <c r="Q148" s="7" t="s">
        <v>245</v>
      </c>
      <c r="R148" s="4">
        <v>113.0</v>
      </c>
      <c r="S148" s="3" t="s">
        <v>169</v>
      </c>
      <c r="T148" s="3" t="s">
        <v>135</v>
      </c>
      <c r="U148" s="3" t="s">
        <v>164</v>
      </c>
      <c r="V148" s="3" t="s">
        <v>56</v>
      </c>
      <c r="W148" s="3" t="s">
        <v>57</v>
      </c>
      <c r="X148" s="3" t="s">
        <v>58</v>
      </c>
      <c r="Y148" s="3" t="s">
        <v>59</v>
      </c>
      <c r="Z148" s="4">
        <v>7.0</v>
      </c>
      <c r="AA148" s="3" t="s">
        <v>60</v>
      </c>
      <c r="AB148" s="7">
        <v>52.0</v>
      </c>
      <c r="AC148" s="7">
        <v>0.0</v>
      </c>
      <c r="AD148" s="7">
        <v>52.0</v>
      </c>
      <c r="AE148" s="7">
        <v>50.0</v>
      </c>
      <c r="AF148" s="7">
        <v>0.0</v>
      </c>
      <c r="AG148" s="7">
        <v>50.0</v>
      </c>
      <c r="AH148" s="7">
        <v>5.0</v>
      </c>
      <c r="AI148" s="7">
        <v>0.0</v>
      </c>
      <c r="AJ148" s="7">
        <v>5.0</v>
      </c>
      <c r="AK148" s="7">
        <v>0.0</v>
      </c>
      <c r="AL148" s="7">
        <v>0.0</v>
      </c>
      <c r="AM148" s="7">
        <v>5.0</v>
      </c>
      <c r="AN148" s="8">
        <v>55.0</v>
      </c>
      <c r="AO148" s="4">
        <v>100.0</v>
      </c>
    </row>
    <row r="149">
      <c r="A149" s="3" t="s">
        <v>41</v>
      </c>
      <c r="B149" s="4">
        <v>40406.0</v>
      </c>
      <c r="C149" s="4" t="s">
        <v>127</v>
      </c>
      <c r="D149" s="4" t="s">
        <v>128</v>
      </c>
      <c r="E149" s="3" t="s">
        <v>44</v>
      </c>
      <c r="F149" s="4">
        <v>76999.0</v>
      </c>
      <c r="G149" s="3" t="s">
        <v>513</v>
      </c>
      <c r="H149" s="3" t="s">
        <v>514</v>
      </c>
      <c r="I149" s="4">
        <v>7.523078716E9</v>
      </c>
      <c r="J149" s="5">
        <v>45562.46952546296</v>
      </c>
      <c r="K149" s="3" t="s">
        <v>47</v>
      </c>
      <c r="L149" s="3" t="s">
        <v>84</v>
      </c>
      <c r="M149" s="3" t="s">
        <v>64</v>
      </c>
      <c r="N149" s="3" t="s">
        <v>50</v>
      </c>
      <c r="O149" s="3" t="s">
        <v>249</v>
      </c>
      <c r="P149" s="6">
        <v>46147.0</v>
      </c>
      <c r="Q149" s="7" t="s">
        <v>118</v>
      </c>
      <c r="R149" s="4">
        <v>91.0</v>
      </c>
      <c r="S149" s="3" t="s">
        <v>515</v>
      </c>
      <c r="T149" s="3" t="s">
        <v>135</v>
      </c>
      <c r="U149" s="3" t="s">
        <v>164</v>
      </c>
      <c r="V149" s="3" t="s">
        <v>56</v>
      </c>
      <c r="W149" s="3" t="s">
        <v>57</v>
      </c>
      <c r="X149" s="3" t="s">
        <v>58</v>
      </c>
      <c r="Y149" s="3" t="s">
        <v>59</v>
      </c>
      <c r="Z149" s="4">
        <v>7.0</v>
      </c>
      <c r="AA149" s="3" t="s">
        <v>60</v>
      </c>
      <c r="AB149" s="7">
        <v>104.0</v>
      </c>
      <c r="AC149" s="7">
        <v>0.0</v>
      </c>
      <c r="AD149" s="7">
        <v>104.0</v>
      </c>
      <c r="AE149" s="7">
        <v>104.0</v>
      </c>
      <c r="AF149" s="7">
        <v>0.0</v>
      </c>
      <c r="AG149" s="7">
        <v>104.0</v>
      </c>
      <c r="AH149" s="7">
        <v>5.0</v>
      </c>
      <c r="AI149" s="7">
        <v>0.0</v>
      </c>
      <c r="AJ149" s="7">
        <v>4.0</v>
      </c>
      <c r="AK149" s="7">
        <v>1.0</v>
      </c>
      <c r="AL149" s="7">
        <v>0.0</v>
      </c>
      <c r="AM149" s="7">
        <v>5.0</v>
      </c>
      <c r="AN149" s="8">
        <v>287.0</v>
      </c>
      <c r="AO149" s="4">
        <v>98.97</v>
      </c>
    </row>
    <row r="150">
      <c r="A150" s="3" t="s">
        <v>41</v>
      </c>
      <c r="B150" s="4">
        <v>40407.0</v>
      </c>
      <c r="C150" s="4" t="s">
        <v>127</v>
      </c>
      <c r="D150" s="4" t="s">
        <v>128</v>
      </c>
      <c r="E150" s="3" t="s">
        <v>44</v>
      </c>
      <c r="F150" s="4">
        <v>76999.0</v>
      </c>
      <c r="G150" s="3" t="s">
        <v>513</v>
      </c>
      <c r="H150" s="3" t="s">
        <v>514</v>
      </c>
      <c r="I150" s="4">
        <v>7.523078716E9</v>
      </c>
      <c r="J150" s="5">
        <v>45562.46952546296</v>
      </c>
      <c r="K150" s="3" t="s">
        <v>47</v>
      </c>
      <c r="L150" s="3" t="s">
        <v>84</v>
      </c>
      <c r="M150" s="3" t="s">
        <v>64</v>
      </c>
      <c r="N150" s="3" t="s">
        <v>50</v>
      </c>
      <c r="O150" s="3" t="s">
        <v>249</v>
      </c>
      <c r="P150" s="6">
        <v>46027.0</v>
      </c>
      <c r="Q150" s="7" t="s">
        <v>95</v>
      </c>
      <c r="R150" s="4">
        <v>91.0</v>
      </c>
      <c r="S150" s="3" t="s">
        <v>515</v>
      </c>
      <c r="T150" s="3" t="s">
        <v>135</v>
      </c>
      <c r="U150" s="3" t="s">
        <v>164</v>
      </c>
      <c r="V150" s="3" t="s">
        <v>56</v>
      </c>
      <c r="W150" s="3" t="s">
        <v>57</v>
      </c>
      <c r="X150" s="3" t="s">
        <v>58</v>
      </c>
      <c r="Y150" s="3" t="s">
        <v>59</v>
      </c>
      <c r="Z150" s="4">
        <v>8.0</v>
      </c>
      <c r="AA150" s="3" t="s">
        <v>60</v>
      </c>
      <c r="AB150" s="7">
        <v>104.0</v>
      </c>
      <c r="AC150" s="7">
        <v>0.0</v>
      </c>
      <c r="AD150" s="7">
        <v>104.0</v>
      </c>
      <c r="AE150" s="7">
        <v>104.0</v>
      </c>
      <c r="AF150" s="7">
        <v>0.0</v>
      </c>
      <c r="AG150" s="7">
        <v>104.0</v>
      </c>
      <c r="AH150" s="7">
        <v>6.0</v>
      </c>
      <c r="AI150" s="7">
        <v>0.0</v>
      </c>
      <c r="AJ150" s="7">
        <v>5.0</v>
      </c>
      <c r="AK150" s="7">
        <v>1.0</v>
      </c>
      <c r="AL150" s="7">
        <v>0.0</v>
      </c>
      <c r="AM150" s="7">
        <v>6.0</v>
      </c>
      <c r="AN150" s="8">
        <v>322.0</v>
      </c>
      <c r="AO150" s="4">
        <v>100.0</v>
      </c>
    </row>
    <row r="151">
      <c r="A151" s="3" t="s">
        <v>41</v>
      </c>
      <c r="B151" s="4">
        <v>40310.0</v>
      </c>
      <c r="C151" s="9">
        <v>46299.0</v>
      </c>
      <c r="D151" s="4" t="s">
        <v>91</v>
      </c>
      <c r="E151" s="3" t="s">
        <v>44</v>
      </c>
      <c r="F151" s="4">
        <v>88066.0</v>
      </c>
      <c r="G151" s="3" t="s">
        <v>516</v>
      </c>
      <c r="H151" s="3" t="s">
        <v>517</v>
      </c>
      <c r="I151" s="4">
        <v>9.928001061E9</v>
      </c>
      <c r="J151" s="5">
        <v>46034.67842592593</v>
      </c>
      <c r="K151" s="3" t="s">
        <v>47</v>
      </c>
      <c r="L151" s="3" t="s">
        <v>518</v>
      </c>
      <c r="M151" s="3" t="s">
        <v>292</v>
      </c>
      <c r="N151" s="3" t="s">
        <v>50</v>
      </c>
      <c r="O151" s="3" t="s">
        <v>51</v>
      </c>
      <c r="P151" s="6">
        <v>46058.0</v>
      </c>
      <c r="Q151" s="7" t="s">
        <v>519</v>
      </c>
      <c r="R151" s="4">
        <v>1986.0</v>
      </c>
      <c r="S151" s="3" t="s">
        <v>119</v>
      </c>
      <c r="T151" s="3" t="s">
        <v>54</v>
      </c>
      <c r="U151" s="3" t="s">
        <v>79</v>
      </c>
      <c r="V151" s="3" t="s">
        <v>120</v>
      </c>
      <c r="W151" s="3" t="s">
        <v>57</v>
      </c>
      <c r="X151" s="3" t="s">
        <v>58</v>
      </c>
      <c r="Y151" s="3" t="s">
        <v>59</v>
      </c>
      <c r="Z151" s="4">
        <v>8.0</v>
      </c>
      <c r="AA151" s="3" t="s">
        <v>234</v>
      </c>
      <c r="AB151" s="7">
        <v>79.0</v>
      </c>
      <c r="AC151" s="7">
        <v>31.0</v>
      </c>
      <c r="AD151" s="7">
        <v>48.0</v>
      </c>
      <c r="AE151" s="7">
        <v>79.0</v>
      </c>
      <c r="AF151" s="7">
        <v>31.0</v>
      </c>
      <c r="AG151" s="7">
        <v>48.0</v>
      </c>
      <c r="AH151" s="7">
        <v>5.0</v>
      </c>
      <c r="AI151" s="7">
        <v>0.0</v>
      </c>
      <c r="AJ151" s="7">
        <v>5.0</v>
      </c>
      <c r="AK151" s="7">
        <v>0.0</v>
      </c>
      <c r="AL151" s="7">
        <v>0.0</v>
      </c>
      <c r="AM151" s="7">
        <v>5.0</v>
      </c>
      <c r="AN151" s="8">
        <v>121.0</v>
      </c>
      <c r="AO151" s="4">
        <v>71.18</v>
      </c>
    </row>
    <row r="152">
      <c r="A152" s="3" t="s">
        <v>41</v>
      </c>
      <c r="B152" s="4">
        <v>40426.0</v>
      </c>
      <c r="C152" s="4" t="s">
        <v>127</v>
      </c>
      <c r="D152" s="4" t="s">
        <v>128</v>
      </c>
      <c r="E152" s="3" t="s">
        <v>44</v>
      </c>
      <c r="F152" s="4">
        <v>74370.0</v>
      </c>
      <c r="G152" s="3" t="s">
        <v>520</v>
      </c>
      <c r="H152" s="3" t="s">
        <v>521</v>
      </c>
      <c r="I152" s="4">
        <v>9.431737821E9</v>
      </c>
      <c r="J152" s="5">
        <v>45489.33076388889</v>
      </c>
      <c r="K152" s="3" t="s">
        <v>186</v>
      </c>
      <c r="L152" s="3" t="s">
        <v>99</v>
      </c>
      <c r="M152" s="3" t="s">
        <v>100</v>
      </c>
      <c r="N152" s="3" t="s">
        <v>50</v>
      </c>
      <c r="O152" s="3" t="s">
        <v>522</v>
      </c>
      <c r="P152" s="6">
        <v>46147.0</v>
      </c>
      <c r="Q152" s="7" t="s">
        <v>118</v>
      </c>
      <c r="R152" s="4">
        <v>92.0</v>
      </c>
      <c r="S152" s="3" t="s">
        <v>523</v>
      </c>
      <c r="T152" s="3" t="s">
        <v>135</v>
      </c>
      <c r="U152" s="3" t="s">
        <v>164</v>
      </c>
      <c r="V152" s="3" t="s">
        <v>56</v>
      </c>
      <c r="W152" s="3" t="s">
        <v>57</v>
      </c>
      <c r="X152" s="3" t="s">
        <v>58</v>
      </c>
      <c r="Y152" s="3" t="s">
        <v>59</v>
      </c>
      <c r="Z152" s="4">
        <v>8.0</v>
      </c>
      <c r="AA152" s="3" t="s">
        <v>60</v>
      </c>
      <c r="AB152" s="7">
        <v>77.0</v>
      </c>
      <c r="AC152" s="7">
        <v>0.0</v>
      </c>
      <c r="AD152" s="7">
        <v>77.0</v>
      </c>
      <c r="AE152" s="7">
        <v>74.0</v>
      </c>
      <c r="AF152" s="7">
        <v>0.0</v>
      </c>
      <c r="AG152" s="7">
        <v>74.0</v>
      </c>
      <c r="AH152" s="7">
        <v>5.0</v>
      </c>
      <c r="AI152" s="7">
        <v>0.0</v>
      </c>
      <c r="AJ152" s="7">
        <v>5.0</v>
      </c>
      <c r="AK152" s="7">
        <v>0.0</v>
      </c>
      <c r="AL152" s="7">
        <v>0.0</v>
      </c>
      <c r="AM152" s="7">
        <v>5.0</v>
      </c>
      <c r="AN152" s="8">
        <v>171.0</v>
      </c>
      <c r="AO152" s="4">
        <v>92.43</v>
      </c>
    </row>
    <row r="153">
      <c r="A153" s="3" t="s">
        <v>41</v>
      </c>
      <c r="B153" s="4">
        <v>40257.0</v>
      </c>
      <c r="C153" s="9">
        <v>46026.0</v>
      </c>
      <c r="D153" s="4" t="s">
        <v>43</v>
      </c>
      <c r="E153" s="3" t="s">
        <v>44</v>
      </c>
      <c r="F153" s="4">
        <v>88905.0</v>
      </c>
      <c r="G153" s="3" t="s">
        <v>524</v>
      </c>
      <c r="H153" s="3" t="s">
        <v>525</v>
      </c>
      <c r="I153" s="4">
        <v>6.393167686E9</v>
      </c>
      <c r="J153" s="5">
        <v>46082.54666666667</v>
      </c>
      <c r="K153" s="3" t="s">
        <v>47</v>
      </c>
      <c r="L153" s="3" t="s">
        <v>161</v>
      </c>
      <c r="M153" s="3" t="s">
        <v>162</v>
      </c>
      <c r="N153" s="3" t="s">
        <v>50</v>
      </c>
      <c r="O153" s="3" t="s">
        <v>51</v>
      </c>
      <c r="P153" s="6">
        <v>46027.0</v>
      </c>
      <c r="Q153" s="7" t="s">
        <v>66</v>
      </c>
      <c r="R153" s="4">
        <v>1784.0</v>
      </c>
      <c r="S153" s="3" t="s">
        <v>342</v>
      </c>
      <c r="T153" s="3" t="s">
        <v>54</v>
      </c>
      <c r="U153" s="3" t="s">
        <v>79</v>
      </c>
      <c r="V153" s="3" t="s">
        <v>69</v>
      </c>
      <c r="W153" s="3" t="s">
        <v>70</v>
      </c>
      <c r="X153" s="3" t="s">
        <v>58</v>
      </c>
      <c r="Y153" s="3" t="s">
        <v>59</v>
      </c>
      <c r="Z153" s="4">
        <v>8.0</v>
      </c>
      <c r="AA153" s="3" t="s">
        <v>60</v>
      </c>
      <c r="AB153" s="7">
        <v>248.0</v>
      </c>
      <c r="AC153" s="7">
        <v>0.0</v>
      </c>
      <c r="AD153" s="7">
        <v>248.0</v>
      </c>
      <c r="AE153" s="7">
        <v>138.0</v>
      </c>
      <c r="AF153" s="7">
        <v>0.0</v>
      </c>
      <c r="AG153" s="7">
        <v>138.0</v>
      </c>
      <c r="AH153" s="7">
        <v>8.0</v>
      </c>
      <c r="AI153" s="7">
        <v>0.0</v>
      </c>
      <c r="AJ153" s="7">
        <v>8.0</v>
      </c>
      <c r="AK153" s="7">
        <v>0.0</v>
      </c>
      <c r="AL153" s="7">
        <v>0.0</v>
      </c>
      <c r="AM153" s="7">
        <v>8.0</v>
      </c>
      <c r="AN153" s="8">
        <v>873.0</v>
      </c>
      <c r="AO153" s="4">
        <v>98.31</v>
      </c>
    </row>
    <row r="154">
      <c r="A154" s="3" t="s">
        <v>41</v>
      </c>
      <c r="B154" s="4">
        <v>40323.0</v>
      </c>
      <c r="C154" s="9">
        <v>46026.0</v>
      </c>
      <c r="D154" s="4" t="s">
        <v>43</v>
      </c>
      <c r="E154" s="3" t="s">
        <v>44</v>
      </c>
      <c r="F154" s="4">
        <v>78072.0</v>
      </c>
      <c r="G154" s="3" t="s">
        <v>526</v>
      </c>
      <c r="H154" s="3" t="s">
        <v>527</v>
      </c>
      <c r="I154" s="4">
        <v>7.070503403E9</v>
      </c>
      <c r="J154" s="5">
        <v>45612.83540509259</v>
      </c>
      <c r="K154" s="3" t="s">
        <v>47</v>
      </c>
      <c r="L154" s="3" t="s">
        <v>528</v>
      </c>
      <c r="M154" s="3" t="s">
        <v>529</v>
      </c>
      <c r="N154" s="3" t="s">
        <v>50</v>
      </c>
      <c r="O154" s="3" t="s">
        <v>65</v>
      </c>
      <c r="P154" s="6">
        <v>46147.0</v>
      </c>
      <c r="Q154" s="7" t="s">
        <v>77</v>
      </c>
      <c r="R154" s="4">
        <v>1783.0</v>
      </c>
      <c r="S154" s="3" t="s">
        <v>310</v>
      </c>
      <c r="T154" s="3" t="s">
        <v>54</v>
      </c>
      <c r="U154" s="3" t="s">
        <v>68</v>
      </c>
      <c r="V154" s="3" t="s">
        <v>69</v>
      </c>
      <c r="W154" s="3" t="s">
        <v>70</v>
      </c>
      <c r="X154" s="3" t="s">
        <v>58</v>
      </c>
      <c r="Y154" s="3" t="s">
        <v>59</v>
      </c>
      <c r="Z154" s="4">
        <v>6.0</v>
      </c>
      <c r="AA154" s="3" t="s">
        <v>60</v>
      </c>
      <c r="AB154" s="7">
        <v>129.0</v>
      </c>
      <c r="AC154" s="7">
        <v>0.0</v>
      </c>
      <c r="AD154" s="7">
        <v>129.0</v>
      </c>
      <c r="AE154" s="7">
        <v>93.0</v>
      </c>
      <c r="AF154" s="7">
        <v>0.0</v>
      </c>
      <c r="AG154" s="7">
        <v>93.0</v>
      </c>
      <c r="AH154" s="7">
        <v>8.0</v>
      </c>
      <c r="AI154" s="7">
        <v>0.0</v>
      </c>
      <c r="AJ154" s="7">
        <v>8.0</v>
      </c>
      <c r="AK154" s="7">
        <v>0.0</v>
      </c>
      <c r="AL154" s="7">
        <v>0.0</v>
      </c>
      <c r="AM154" s="7">
        <v>8.0</v>
      </c>
      <c r="AN154" s="8">
        <v>200.0</v>
      </c>
      <c r="AO154" s="4">
        <v>100.0</v>
      </c>
    </row>
    <row r="155">
      <c r="A155" s="3" t="s">
        <v>41</v>
      </c>
      <c r="B155" s="4">
        <v>40317.0</v>
      </c>
      <c r="C155" s="9">
        <v>46026.0</v>
      </c>
      <c r="D155" s="4" t="s">
        <v>43</v>
      </c>
      <c r="E155" s="3" t="s">
        <v>44</v>
      </c>
      <c r="F155" s="4">
        <v>89795.0</v>
      </c>
      <c r="G155" s="3" t="s">
        <v>530</v>
      </c>
      <c r="H155" s="3" t="s">
        <v>531</v>
      </c>
      <c r="I155" s="4">
        <v>9.94749336E9</v>
      </c>
      <c r="J155" s="5">
        <v>46134.60690972222</v>
      </c>
      <c r="K155" s="3" t="s">
        <v>124</v>
      </c>
      <c r="L155" s="3" t="s">
        <v>532</v>
      </c>
      <c r="M155" s="3" t="s">
        <v>349</v>
      </c>
      <c r="N155" s="3" t="s">
        <v>50</v>
      </c>
      <c r="O155" s="3" t="s">
        <v>51</v>
      </c>
      <c r="P155" s="6">
        <v>46147.0</v>
      </c>
      <c r="Q155" s="7" t="s">
        <v>77</v>
      </c>
      <c r="R155" s="4">
        <v>1781.0</v>
      </c>
      <c r="S155" s="3" t="s">
        <v>205</v>
      </c>
      <c r="T155" s="3" t="s">
        <v>54</v>
      </c>
      <c r="U155" s="3" t="s">
        <v>68</v>
      </c>
      <c r="V155" s="3" t="s">
        <v>69</v>
      </c>
      <c r="W155" s="3" t="s">
        <v>70</v>
      </c>
      <c r="X155" s="3" t="s">
        <v>58</v>
      </c>
      <c r="Y155" s="3" t="s">
        <v>59</v>
      </c>
      <c r="Z155" s="4">
        <v>6.0</v>
      </c>
      <c r="AA155" s="3" t="s">
        <v>60</v>
      </c>
      <c r="AB155" s="7">
        <v>108.0</v>
      </c>
      <c r="AC155" s="7">
        <v>0.0</v>
      </c>
      <c r="AD155" s="7">
        <v>108.0</v>
      </c>
      <c r="AE155" s="7">
        <v>75.0</v>
      </c>
      <c r="AF155" s="7">
        <v>0.0</v>
      </c>
      <c r="AG155" s="7">
        <v>75.0</v>
      </c>
      <c r="AH155" s="7">
        <v>8.0</v>
      </c>
      <c r="AI155" s="7">
        <v>0.0</v>
      </c>
      <c r="AJ155" s="7">
        <v>8.0</v>
      </c>
      <c r="AK155" s="7">
        <v>0.0</v>
      </c>
      <c r="AL155" s="7">
        <v>0.0</v>
      </c>
      <c r="AM155" s="7">
        <v>8.0</v>
      </c>
      <c r="AN155" s="8">
        <v>170.0</v>
      </c>
      <c r="AO155" s="4">
        <v>96.59</v>
      </c>
    </row>
    <row r="156">
      <c r="A156" s="3" t="s">
        <v>41</v>
      </c>
      <c r="B156" s="4">
        <v>40374.0</v>
      </c>
      <c r="C156" s="4" t="s">
        <v>42</v>
      </c>
      <c r="D156" s="4" t="s">
        <v>43</v>
      </c>
      <c r="E156" s="3" t="s">
        <v>44</v>
      </c>
      <c r="F156" s="4">
        <v>87598.0</v>
      </c>
      <c r="G156" s="3" t="s">
        <v>533</v>
      </c>
      <c r="H156" s="3" t="s">
        <v>534</v>
      </c>
      <c r="I156" s="4">
        <v>8.890294172E9</v>
      </c>
      <c r="J156" s="5">
        <v>46010.987280092595</v>
      </c>
      <c r="K156" s="3" t="s">
        <v>47</v>
      </c>
      <c r="L156" s="3" t="s">
        <v>535</v>
      </c>
      <c r="M156" s="3" t="s">
        <v>292</v>
      </c>
      <c r="N156" s="3" t="s">
        <v>50</v>
      </c>
      <c r="O156" s="3" t="s">
        <v>51</v>
      </c>
      <c r="P156" s="6">
        <v>46147.0</v>
      </c>
      <c r="Q156" s="7" t="s">
        <v>106</v>
      </c>
      <c r="R156" s="4">
        <v>1945.0</v>
      </c>
      <c r="S156" s="3" t="s">
        <v>384</v>
      </c>
      <c r="T156" s="3" t="s">
        <v>54</v>
      </c>
      <c r="U156" s="3" t="s">
        <v>108</v>
      </c>
      <c r="V156" s="3" t="s">
        <v>56</v>
      </c>
      <c r="W156" s="3" t="s">
        <v>57</v>
      </c>
      <c r="X156" s="3" t="s">
        <v>58</v>
      </c>
      <c r="Y156" s="3" t="s">
        <v>59</v>
      </c>
      <c r="Z156" s="4">
        <v>7.0</v>
      </c>
      <c r="AA156" s="3" t="s">
        <v>60</v>
      </c>
      <c r="AB156" s="7">
        <v>62.0</v>
      </c>
      <c r="AC156" s="7">
        <v>0.0</v>
      </c>
      <c r="AD156" s="7">
        <v>62.0</v>
      </c>
      <c r="AE156" s="7">
        <v>62.0</v>
      </c>
      <c r="AF156" s="7">
        <v>0.0</v>
      </c>
      <c r="AG156" s="7">
        <v>62.0</v>
      </c>
      <c r="AH156" s="7">
        <v>7.0</v>
      </c>
      <c r="AI156" s="7">
        <v>0.0</v>
      </c>
      <c r="AJ156" s="7">
        <v>7.0</v>
      </c>
      <c r="AK156" s="7">
        <v>0.0</v>
      </c>
      <c r="AL156" s="7">
        <v>0.0</v>
      </c>
      <c r="AM156" s="7">
        <v>7.0</v>
      </c>
      <c r="AN156" s="8">
        <v>192.0</v>
      </c>
      <c r="AO156" s="4">
        <v>91.43</v>
      </c>
    </row>
    <row r="157">
      <c r="A157" s="3" t="s">
        <v>41</v>
      </c>
      <c r="B157" s="4">
        <v>40267.0</v>
      </c>
      <c r="C157" s="9">
        <v>46026.0</v>
      </c>
      <c r="D157" s="4" t="s">
        <v>43</v>
      </c>
      <c r="E157" s="3" t="s">
        <v>44</v>
      </c>
      <c r="F157" s="4">
        <v>88855.0</v>
      </c>
      <c r="G157" s="3" t="s">
        <v>536</v>
      </c>
      <c r="H157" s="3" t="s">
        <v>537</v>
      </c>
      <c r="I157" s="4">
        <v>8.168437458E9</v>
      </c>
      <c r="J157" s="5">
        <v>46079.49087962963</v>
      </c>
      <c r="K157" s="3" t="s">
        <v>47</v>
      </c>
      <c r="L157" s="3" t="s">
        <v>538</v>
      </c>
      <c r="M157" s="3" t="s">
        <v>117</v>
      </c>
      <c r="N157" s="3" t="s">
        <v>50</v>
      </c>
      <c r="O157" s="3" t="s">
        <v>65</v>
      </c>
      <c r="P157" s="6">
        <v>46147.0</v>
      </c>
      <c r="Q157" s="7" t="s">
        <v>77</v>
      </c>
      <c r="R157" s="4">
        <v>1790.0</v>
      </c>
      <c r="S157" s="3" t="s">
        <v>213</v>
      </c>
      <c r="T157" s="3" t="s">
        <v>54</v>
      </c>
      <c r="U157" s="3" t="s">
        <v>68</v>
      </c>
      <c r="V157" s="3" t="s">
        <v>69</v>
      </c>
      <c r="W157" s="3" t="s">
        <v>70</v>
      </c>
      <c r="X157" s="3" t="s">
        <v>58</v>
      </c>
      <c r="Y157" s="3" t="s">
        <v>59</v>
      </c>
      <c r="Z157" s="4">
        <v>8.0</v>
      </c>
      <c r="AA157" s="3" t="s">
        <v>60</v>
      </c>
      <c r="AB157" s="7">
        <v>119.0</v>
      </c>
      <c r="AC157" s="7">
        <v>0.0</v>
      </c>
      <c r="AD157" s="7">
        <v>119.0</v>
      </c>
      <c r="AE157" s="7">
        <v>88.0</v>
      </c>
      <c r="AF157" s="7">
        <v>0.0</v>
      </c>
      <c r="AG157" s="7">
        <v>88.0</v>
      </c>
      <c r="AH157" s="7">
        <v>8.0</v>
      </c>
      <c r="AI157" s="7">
        <v>0.0</v>
      </c>
      <c r="AJ157" s="7">
        <v>8.0</v>
      </c>
      <c r="AK157" s="7">
        <v>0.0</v>
      </c>
      <c r="AL157" s="7">
        <v>0.0</v>
      </c>
      <c r="AM157" s="7">
        <v>8.0</v>
      </c>
      <c r="AN157" s="8">
        <v>216.0</v>
      </c>
      <c r="AO157" s="4">
        <v>100.0</v>
      </c>
    </row>
    <row r="158">
      <c r="A158" s="3" t="s">
        <v>41</v>
      </c>
      <c r="B158" s="4">
        <v>40325.0</v>
      </c>
      <c r="C158" s="9">
        <v>46026.0</v>
      </c>
      <c r="D158" s="4" t="s">
        <v>43</v>
      </c>
      <c r="E158" s="3" t="s">
        <v>44</v>
      </c>
      <c r="F158" s="4">
        <v>89847.0</v>
      </c>
      <c r="G158" s="3" t="s">
        <v>539</v>
      </c>
      <c r="H158" s="3" t="s">
        <v>540</v>
      </c>
      <c r="I158" s="4">
        <v>9.967280404E9</v>
      </c>
      <c r="J158" s="5">
        <v>46135.57560185185</v>
      </c>
      <c r="K158" s="3" t="s">
        <v>124</v>
      </c>
      <c r="L158" s="3" t="s">
        <v>84</v>
      </c>
      <c r="M158" s="3" t="s">
        <v>64</v>
      </c>
      <c r="N158" s="3" t="s">
        <v>50</v>
      </c>
      <c r="O158" s="3" t="s">
        <v>51</v>
      </c>
      <c r="P158" s="6">
        <v>46027.0</v>
      </c>
      <c r="Q158" s="7" t="s">
        <v>66</v>
      </c>
      <c r="R158" s="4">
        <v>1783.0</v>
      </c>
      <c r="S158" s="3" t="s">
        <v>310</v>
      </c>
      <c r="T158" s="3" t="s">
        <v>54</v>
      </c>
      <c r="U158" s="3" t="s">
        <v>68</v>
      </c>
      <c r="V158" s="3" t="s">
        <v>69</v>
      </c>
      <c r="W158" s="3" t="s">
        <v>70</v>
      </c>
      <c r="X158" s="3" t="s">
        <v>58</v>
      </c>
      <c r="Y158" s="3" t="s">
        <v>59</v>
      </c>
      <c r="Z158" s="4">
        <v>8.0</v>
      </c>
      <c r="AA158" s="3" t="s">
        <v>60</v>
      </c>
      <c r="AB158" s="7">
        <v>129.0</v>
      </c>
      <c r="AC158" s="7">
        <v>0.0</v>
      </c>
      <c r="AD158" s="7">
        <v>129.0</v>
      </c>
      <c r="AE158" s="7">
        <v>93.0</v>
      </c>
      <c r="AF158" s="7">
        <v>0.0</v>
      </c>
      <c r="AG158" s="7">
        <v>93.0</v>
      </c>
      <c r="AH158" s="7">
        <v>8.0</v>
      </c>
      <c r="AI158" s="7">
        <v>0.0</v>
      </c>
      <c r="AJ158" s="7">
        <v>8.0</v>
      </c>
      <c r="AK158" s="7">
        <v>0.0</v>
      </c>
      <c r="AL158" s="7">
        <v>0.0</v>
      </c>
      <c r="AM158" s="7">
        <v>8.0</v>
      </c>
      <c r="AN158" s="8">
        <v>288.0</v>
      </c>
      <c r="AO158" s="4">
        <v>100.0</v>
      </c>
    </row>
    <row r="159">
      <c r="A159" s="3" t="s">
        <v>41</v>
      </c>
      <c r="B159" s="4">
        <v>40328.0</v>
      </c>
      <c r="C159" s="9">
        <v>46026.0</v>
      </c>
      <c r="D159" s="4" t="s">
        <v>43</v>
      </c>
      <c r="E159" s="3" t="s">
        <v>44</v>
      </c>
      <c r="F159" s="4">
        <v>79695.0</v>
      </c>
      <c r="G159" s="3" t="s">
        <v>541</v>
      </c>
      <c r="H159" s="3" t="s">
        <v>542</v>
      </c>
      <c r="I159" s="11">
        <v>4.92E9</v>
      </c>
      <c r="J159" s="5">
        <v>45672.6655787037</v>
      </c>
      <c r="K159" s="3" t="s">
        <v>186</v>
      </c>
      <c r="L159" s="3" t="s">
        <v>543</v>
      </c>
      <c r="M159" s="3" t="s">
        <v>404</v>
      </c>
      <c r="N159" s="3" t="s">
        <v>405</v>
      </c>
      <c r="O159" s="3" t="s">
        <v>133</v>
      </c>
      <c r="P159" s="6">
        <v>46208.0</v>
      </c>
      <c r="Q159" s="7" t="s">
        <v>77</v>
      </c>
      <c r="R159" s="4">
        <v>1782.0</v>
      </c>
      <c r="S159" s="3" t="s">
        <v>281</v>
      </c>
      <c r="T159" s="3" t="s">
        <v>54</v>
      </c>
      <c r="U159" s="3" t="s">
        <v>68</v>
      </c>
      <c r="V159" s="3" t="s">
        <v>69</v>
      </c>
      <c r="W159" s="3" t="s">
        <v>70</v>
      </c>
      <c r="X159" s="3" t="s">
        <v>58</v>
      </c>
      <c r="Y159" s="3" t="s">
        <v>59</v>
      </c>
      <c r="Z159" s="4">
        <v>8.0</v>
      </c>
      <c r="AA159" s="3" t="s">
        <v>80</v>
      </c>
      <c r="AB159" s="7">
        <v>112.0</v>
      </c>
      <c r="AC159" s="7">
        <v>0.0</v>
      </c>
      <c r="AD159" s="7">
        <v>112.0</v>
      </c>
      <c r="AE159" s="7">
        <v>74.0</v>
      </c>
      <c r="AF159" s="7">
        <v>0.0</v>
      </c>
      <c r="AG159" s="7">
        <v>74.0</v>
      </c>
      <c r="AH159" s="7">
        <v>7.0</v>
      </c>
      <c r="AI159" s="7">
        <v>0.0</v>
      </c>
      <c r="AJ159" s="7">
        <v>7.0</v>
      </c>
      <c r="AK159" s="7">
        <v>0.0</v>
      </c>
      <c r="AL159" s="7">
        <v>0.0</v>
      </c>
      <c r="AM159" s="7">
        <v>7.0</v>
      </c>
      <c r="AN159" s="8">
        <v>99.0</v>
      </c>
      <c r="AO159" s="4">
        <v>30.75</v>
      </c>
    </row>
    <row r="160">
      <c r="A160" s="3" t="s">
        <v>41</v>
      </c>
      <c r="B160" s="4">
        <v>40330.0</v>
      </c>
      <c r="C160" s="9">
        <v>46026.0</v>
      </c>
      <c r="D160" s="4" t="s">
        <v>43</v>
      </c>
      <c r="E160" s="3" t="s">
        <v>44</v>
      </c>
      <c r="F160" s="4">
        <v>60667.0</v>
      </c>
      <c r="G160" s="3" t="s">
        <v>544</v>
      </c>
      <c r="H160" s="3" t="s">
        <v>545</v>
      </c>
      <c r="I160" s="4">
        <v>9.143124328E9</v>
      </c>
      <c r="J160" s="5">
        <v>44859.3840162037</v>
      </c>
      <c r="K160" s="3" t="s">
        <v>47</v>
      </c>
      <c r="L160" s="3" t="s">
        <v>174</v>
      </c>
      <c r="M160" s="3" t="s">
        <v>175</v>
      </c>
      <c r="N160" s="3" t="s">
        <v>50</v>
      </c>
      <c r="O160" s="3" t="s">
        <v>249</v>
      </c>
      <c r="P160" s="6">
        <v>46027.0</v>
      </c>
      <c r="Q160" s="7" t="s">
        <v>66</v>
      </c>
      <c r="R160" s="4">
        <v>1782.0</v>
      </c>
      <c r="S160" s="3" t="s">
        <v>281</v>
      </c>
      <c r="T160" s="3" t="s">
        <v>54</v>
      </c>
      <c r="U160" s="3" t="s">
        <v>68</v>
      </c>
      <c r="V160" s="3" t="s">
        <v>69</v>
      </c>
      <c r="W160" s="3" t="s">
        <v>70</v>
      </c>
      <c r="X160" s="3" t="s">
        <v>58</v>
      </c>
      <c r="Y160" s="3" t="s">
        <v>59</v>
      </c>
      <c r="Z160" s="4">
        <v>7.0</v>
      </c>
      <c r="AA160" s="3" t="s">
        <v>60</v>
      </c>
      <c r="AB160" s="7">
        <v>112.0</v>
      </c>
      <c r="AC160" s="7">
        <v>0.0</v>
      </c>
      <c r="AD160" s="7">
        <v>112.0</v>
      </c>
      <c r="AE160" s="7">
        <v>74.0</v>
      </c>
      <c r="AF160" s="7">
        <v>0.0</v>
      </c>
      <c r="AG160" s="7">
        <v>74.0</v>
      </c>
      <c r="AH160" s="7">
        <v>8.0</v>
      </c>
      <c r="AI160" s="7">
        <v>0.0</v>
      </c>
      <c r="AJ160" s="7">
        <v>8.0</v>
      </c>
      <c r="AK160" s="7">
        <v>0.0</v>
      </c>
      <c r="AL160" s="7">
        <v>0.0</v>
      </c>
      <c r="AM160" s="7">
        <v>8.0</v>
      </c>
      <c r="AN160" s="8">
        <v>46.0</v>
      </c>
      <c r="AO160" s="4">
        <v>95.83</v>
      </c>
    </row>
    <row r="161">
      <c r="A161" s="3" t="s">
        <v>41</v>
      </c>
      <c r="B161" s="4">
        <v>40364.0</v>
      </c>
      <c r="C161" s="9">
        <v>46026.0</v>
      </c>
      <c r="D161" s="4" t="s">
        <v>43</v>
      </c>
      <c r="E161" s="3" t="s">
        <v>44</v>
      </c>
      <c r="F161" s="4">
        <v>89792.0</v>
      </c>
      <c r="G161" s="3" t="s">
        <v>546</v>
      </c>
      <c r="H161" s="3" t="s">
        <v>547</v>
      </c>
      <c r="I161" s="4">
        <v>9.429617837E9</v>
      </c>
      <c r="J161" s="5">
        <v>46134.58346064815</v>
      </c>
      <c r="K161" s="3" t="s">
        <v>124</v>
      </c>
      <c r="L161" s="3" t="s">
        <v>548</v>
      </c>
      <c r="M161" s="3" t="s">
        <v>150</v>
      </c>
      <c r="N161" s="3" t="s">
        <v>50</v>
      </c>
      <c r="O161" s="3" t="s">
        <v>51</v>
      </c>
      <c r="P161" s="6">
        <v>46027.0</v>
      </c>
      <c r="Q161" s="7" t="s">
        <v>66</v>
      </c>
      <c r="R161" s="4">
        <v>1793.0</v>
      </c>
      <c r="S161" s="3" t="s">
        <v>158</v>
      </c>
      <c r="T161" s="3" t="s">
        <v>54</v>
      </c>
      <c r="U161" s="3" t="s">
        <v>79</v>
      </c>
      <c r="V161" s="3" t="s">
        <v>69</v>
      </c>
      <c r="W161" s="3" t="s">
        <v>70</v>
      </c>
      <c r="X161" s="3" t="s">
        <v>58</v>
      </c>
      <c r="Y161" s="3" t="s">
        <v>59</v>
      </c>
      <c r="Z161" s="4">
        <v>7.0</v>
      </c>
      <c r="AA161" s="3" t="s">
        <v>60</v>
      </c>
      <c r="AB161" s="7">
        <v>100.0</v>
      </c>
      <c r="AC161" s="7">
        <v>0.0</v>
      </c>
      <c r="AD161" s="7">
        <v>100.0</v>
      </c>
      <c r="AE161" s="7">
        <v>66.0</v>
      </c>
      <c r="AF161" s="7">
        <v>0.0</v>
      </c>
      <c r="AG161" s="7">
        <v>66.0</v>
      </c>
      <c r="AH161" s="7">
        <v>8.0</v>
      </c>
      <c r="AI161" s="7">
        <v>0.0</v>
      </c>
      <c r="AJ161" s="7">
        <v>8.0</v>
      </c>
      <c r="AK161" s="7">
        <v>0.0</v>
      </c>
      <c r="AL161" s="7">
        <v>0.0</v>
      </c>
      <c r="AM161" s="7">
        <v>8.0</v>
      </c>
      <c r="AN161" s="8">
        <v>111.0</v>
      </c>
      <c r="AO161" s="4">
        <v>81.62</v>
      </c>
    </row>
    <row r="162">
      <c r="A162" s="3" t="s">
        <v>41</v>
      </c>
      <c r="B162" s="4">
        <v>40425.0</v>
      </c>
      <c r="C162" s="4" t="s">
        <v>127</v>
      </c>
      <c r="D162" s="4" t="s">
        <v>128</v>
      </c>
      <c r="E162" s="3" t="s">
        <v>44</v>
      </c>
      <c r="F162" s="4">
        <v>58113.0</v>
      </c>
      <c r="G162" s="3" t="s">
        <v>549</v>
      </c>
      <c r="H162" s="3" t="s">
        <v>550</v>
      </c>
      <c r="I162" s="4">
        <v>9.731033933E9</v>
      </c>
      <c r="J162" s="5">
        <v>44733.337696759256</v>
      </c>
      <c r="K162" s="3" t="s">
        <v>47</v>
      </c>
      <c r="L162" s="3" t="s">
        <v>161</v>
      </c>
      <c r="M162" s="3" t="s">
        <v>162</v>
      </c>
      <c r="N162" s="3" t="s">
        <v>50</v>
      </c>
      <c r="O162" s="3" t="s">
        <v>133</v>
      </c>
      <c r="P162" s="6">
        <v>46117.0</v>
      </c>
      <c r="Q162" s="7" t="s">
        <v>95</v>
      </c>
      <c r="R162" s="4">
        <v>92.0</v>
      </c>
      <c r="S162" s="3" t="s">
        <v>523</v>
      </c>
      <c r="T162" s="3" t="s">
        <v>135</v>
      </c>
      <c r="U162" s="3" t="s">
        <v>164</v>
      </c>
      <c r="V162" s="3" t="s">
        <v>56</v>
      </c>
      <c r="W162" s="3" t="s">
        <v>57</v>
      </c>
      <c r="X162" s="3" t="s">
        <v>58</v>
      </c>
      <c r="Y162" s="3" t="s">
        <v>59</v>
      </c>
      <c r="Z162" s="4">
        <v>7.0</v>
      </c>
      <c r="AA162" s="3" t="s">
        <v>60</v>
      </c>
      <c r="AB162" s="7">
        <v>77.0</v>
      </c>
      <c r="AC162" s="7">
        <v>0.0</v>
      </c>
      <c r="AD162" s="7">
        <v>77.0</v>
      </c>
      <c r="AE162" s="7">
        <v>74.0</v>
      </c>
      <c r="AF162" s="7">
        <v>0.0</v>
      </c>
      <c r="AG162" s="7">
        <v>74.0</v>
      </c>
      <c r="AH162" s="7">
        <v>6.0</v>
      </c>
      <c r="AI162" s="7">
        <v>0.0</v>
      </c>
      <c r="AJ162" s="7">
        <v>6.0</v>
      </c>
      <c r="AK162" s="7">
        <v>0.0</v>
      </c>
      <c r="AL162" s="7">
        <v>0.0</v>
      </c>
      <c r="AM162" s="7">
        <v>6.0</v>
      </c>
      <c r="AN162" s="8">
        <v>209.0</v>
      </c>
      <c r="AO162" s="4">
        <v>94.14</v>
      </c>
    </row>
    <row r="163">
      <c r="A163" s="3" t="s">
        <v>41</v>
      </c>
      <c r="B163" s="4">
        <v>40372.0</v>
      </c>
      <c r="C163" s="4" t="s">
        <v>42</v>
      </c>
      <c r="D163" s="4" t="s">
        <v>43</v>
      </c>
      <c r="E163" s="3" t="s">
        <v>44</v>
      </c>
      <c r="F163" s="4">
        <v>80569.0</v>
      </c>
      <c r="G163" s="3" t="s">
        <v>551</v>
      </c>
      <c r="H163" s="3" t="s">
        <v>552</v>
      </c>
      <c r="I163" s="4">
        <v>9.789833207E9</v>
      </c>
      <c r="J163" s="5">
        <v>45735.5265625</v>
      </c>
      <c r="K163" s="3" t="s">
        <v>47</v>
      </c>
      <c r="L163" s="3" t="s">
        <v>94</v>
      </c>
      <c r="M163" s="3" t="s">
        <v>64</v>
      </c>
      <c r="N163" s="3" t="s">
        <v>50</v>
      </c>
      <c r="O163" s="3" t="s">
        <v>133</v>
      </c>
      <c r="P163" s="6">
        <v>46117.0</v>
      </c>
      <c r="Q163" s="7" t="s">
        <v>85</v>
      </c>
      <c r="R163" s="4">
        <v>1947.0</v>
      </c>
      <c r="S163" s="3" t="s">
        <v>553</v>
      </c>
      <c r="T163" s="3" t="s">
        <v>54</v>
      </c>
      <c r="U163" s="3" t="s">
        <v>108</v>
      </c>
      <c r="V163" s="3" t="s">
        <v>56</v>
      </c>
      <c r="W163" s="3" t="s">
        <v>57</v>
      </c>
      <c r="X163" s="3" t="s">
        <v>58</v>
      </c>
      <c r="Y163" s="3" t="s">
        <v>59</v>
      </c>
      <c r="Z163" s="4">
        <v>7.0</v>
      </c>
      <c r="AA163" s="3" t="s">
        <v>60</v>
      </c>
      <c r="AB163" s="7">
        <v>40.0</v>
      </c>
      <c r="AC163" s="7">
        <v>0.0</v>
      </c>
      <c r="AD163" s="7">
        <v>40.0</v>
      </c>
      <c r="AE163" s="7">
        <v>34.0</v>
      </c>
      <c r="AF163" s="7">
        <v>0.0</v>
      </c>
      <c r="AG163" s="7">
        <v>34.0</v>
      </c>
      <c r="AH163" s="7">
        <v>7.0</v>
      </c>
      <c r="AI163" s="7">
        <v>0.0</v>
      </c>
      <c r="AJ163" s="7">
        <v>5.0</v>
      </c>
      <c r="AK163" s="7">
        <v>2.0</v>
      </c>
      <c r="AL163" s="7">
        <v>0.0</v>
      </c>
      <c r="AM163" s="7">
        <v>7.0</v>
      </c>
      <c r="AN163" s="8">
        <v>83.0</v>
      </c>
      <c r="AO163" s="4">
        <v>69.75</v>
      </c>
    </row>
    <row r="164">
      <c r="A164" s="3" t="s">
        <v>41</v>
      </c>
      <c r="B164" s="4">
        <v>40373.0</v>
      </c>
      <c r="C164" s="4" t="s">
        <v>42</v>
      </c>
      <c r="D164" s="4" t="s">
        <v>43</v>
      </c>
      <c r="E164" s="3" t="s">
        <v>44</v>
      </c>
      <c r="F164" s="4">
        <v>80569.0</v>
      </c>
      <c r="G164" s="3" t="s">
        <v>551</v>
      </c>
      <c r="H164" s="3" t="s">
        <v>552</v>
      </c>
      <c r="I164" s="4">
        <v>9.789833207E9</v>
      </c>
      <c r="J164" s="5">
        <v>45735.5265625</v>
      </c>
      <c r="K164" s="3" t="s">
        <v>47</v>
      </c>
      <c r="L164" s="3" t="s">
        <v>94</v>
      </c>
      <c r="M164" s="3" t="s">
        <v>64</v>
      </c>
      <c r="N164" s="3" t="s">
        <v>50</v>
      </c>
      <c r="O164" s="3" t="s">
        <v>133</v>
      </c>
      <c r="P164" s="6">
        <v>46147.0</v>
      </c>
      <c r="Q164" s="7" t="s">
        <v>106</v>
      </c>
      <c r="R164" s="4">
        <v>1947.0</v>
      </c>
      <c r="S164" s="3" t="s">
        <v>553</v>
      </c>
      <c r="T164" s="3" t="s">
        <v>54</v>
      </c>
      <c r="U164" s="3" t="s">
        <v>108</v>
      </c>
      <c r="V164" s="3" t="s">
        <v>56</v>
      </c>
      <c r="W164" s="3" t="s">
        <v>57</v>
      </c>
      <c r="X164" s="3" t="s">
        <v>58</v>
      </c>
      <c r="Y164" s="3" t="s">
        <v>59</v>
      </c>
      <c r="Z164" s="4">
        <v>8.0</v>
      </c>
      <c r="AA164" s="3" t="s">
        <v>60</v>
      </c>
      <c r="AB164" s="7">
        <v>40.0</v>
      </c>
      <c r="AC164" s="7">
        <v>0.0</v>
      </c>
      <c r="AD164" s="7">
        <v>40.0</v>
      </c>
      <c r="AE164" s="7">
        <v>34.0</v>
      </c>
      <c r="AF164" s="7">
        <v>0.0</v>
      </c>
      <c r="AG164" s="7">
        <v>34.0</v>
      </c>
      <c r="AH164" s="7">
        <v>7.0</v>
      </c>
      <c r="AI164" s="7">
        <v>0.0</v>
      </c>
      <c r="AJ164" s="7">
        <v>5.0</v>
      </c>
      <c r="AK164" s="7">
        <v>2.0</v>
      </c>
      <c r="AL164" s="7">
        <v>0.0</v>
      </c>
      <c r="AM164" s="7">
        <v>7.0</v>
      </c>
      <c r="AN164" s="8">
        <v>83.0</v>
      </c>
      <c r="AO164" s="4">
        <v>69.75</v>
      </c>
    </row>
    <row r="165">
      <c r="A165" s="3" t="s">
        <v>41</v>
      </c>
      <c r="B165" s="4">
        <v>40369.0</v>
      </c>
      <c r="C165" s="4" t="s">
        <v>42</v>
      </c>
      <c r="D165" s="4" t="s">
        <v>43</v>
      </c>
      <c r="E165" s="3" t="s">
        <v>44</v>
      </c>
      <c r="F165" s="4">
        <v>86045.0</v>
      </c>
      <c r="G165" s="3" t="s">
        <v>554</v>
      </c>
      <c r="H165" s="3" t="s">
        <v>555</v>
      </c>
      <c r="I165" s="3">
        <v>8.010056169E9</v>
      </c>
      <c r="J165" s="5">
        <v>45922.12181712963</v>
      </c>
      <c r="K165" s="3" t="s">
        <v>47</v>
      </c>
      <c r="L165" s="3" t="s">
        <v>556</v>
      </c>
      <c r="M165" s="3" t="s">
        <v>557</v>
      </c>
      <c r="N165" s="3" t="s">
        <v>405</v>
      </c>
      <c r="O165" s="3" t="s">
        <v>76</v>
      </c>
      <c r="P165" s="6">
        <v>46117.0</v>
      </c>
      <c r="Q165" s="7" t="s">
        <v>95</v>
      </c>
      <c r="R165" s="4">
        <v>1948.0</v>
      </c>
      <c r="S165" s="3" t="s">
        <v>53</v>
      </c>
      <c r="T165" s="3" t="s">
        <v>54</v>
      </c>
      <c r="U165" s="3" t="s">
        <v>55</v>
      </c>
      <c r="V165" s="3" t="s">
        <v>56</v>
      </c>
      <c r="W165" s="3" t="s">
        <v>57</v>
      </c>
      <c r="X165" s="3" t="s">
        <v>58</v>
      </c>
      <c r="Y165" s="3" t="s">
        <v>59</v>
      </c>
      <c r="Z165" s="4">
        <v>8.0</v>
      </c>
      <c r="AA165" s="3" t="s">
        <v>60</v>
      </c>
      <c r="AB165" s="7">
        <v>36.0</v>
      </c>
      <c r="AC165" s="7">
        <v>0.0</v>
      </c>
      <c r="AD165" s="7">
        <v>36.0</v>
      </c>
      <c r="AE165" s="7">
        <v>30.0</v>
      </c>
      <c r="AF165" s="7">
        <v>0.0</v>
      </c>
      <c r="AG165" s="7">
        <v>30.0</v>
      </c>
      <c r="AH165" s="7">
        <v>6.0</v>
      </c>
      <c r="AI165" s="7">
        <v>0.0</v>
      </c>
      <c r="AJ165" s="7">
        <v>5.0</v>
      </c>
      <c r="AK165" s="7">
        <v>1.0</v>
      </c>
      <c r="AL165" s="7">
        <v>0.0</v>
      </c>
      <c r="AM165" s="7">
        <v>6.0</v>
      </c>
      <c r="AN165" s="8">
        <v>140.0</v>
      </c>
      <c r="AO165" s="4">
        <v>66.67</v>
      </c>
    </row>
    <row r="166">
      <c r="A166" s="3" t="s">
        <v>41</v>
      </c>
      <c r="B166" s="4">
        <v>40262.0</v>
      </c>
      <c r="C166" s="9">
        <v>46026.0</v>
      </c>
      <c r="D166" s="4" t="s">
        <v>43</v>
      </c>
      <c r="E166" s="3" t="s">
        <v>44</v>
      </c>
      <c r="F166" s="4">
        <v>73641.0</v>
      </c>
      <c r="G166" s="3" t="s">
        <v>558</v>
      </c>
      <c r="H166" s="3" t="s">
        <v>559</v>
      </c>
      <c r="I166" s="4">
        <v>7.607147183E9</v>
      </c>
      <c r="J166" s="5">
        <v>45473.56484953704</v>
      </c>
      <c r="K166" s="3" t="s">
        <v>201</v>
      </c>
      <c r="L166" s="3" t="s">
        <v>253</v>
      </c>
      <c r="M166" s="3" t="s">
        <v>54</v>
      </c>
      <c r="N166" s="3" t="s">
        <v>50</v>
      </c>
      <c r="O166" s="3" t="s">
        <v>101</v>
      </c>
      <c r="P166" s="6">
        <v>46239.0</v>
      </c>
      <c r="Q166" s="7" t="s">
        <v>66</v>
      </c>
      <c r="R166" s="4">
        <v>1790.0</v>
      </c>
      <c r="S166" s="3" t="s">
        <v>213</v>
      </c>
      <c r="T166" s="3" t="s">
        <v>54</v>
      </c>
      <c r="U166" s="3" t="s">
        <v>68</v>
      </c>
      <c r="V166" s="3" t="s">
        <v>69</v>
      </c>
      <c r="W166" s="3" t="s">
        <v>70</v>
      </c>
      <c r="X166" s="3" t="s">
        <v>58</v>
      </c>
      <c r="Y166" s="3" t="s">
        <v>59</v>
      </c>
      <c r="Z166" s="4">
        <v>6.0</v>
      </c>
      <c r="AA166" s="3" t="s">
        <v>80</v>
      </c>
      <c r="AB166" s="7">
        <v>119.0</v>
      </c>
      <c r="AC166" s="7">
        <v>0.0</v>
      </c>
      <c r="AD166" s="7">
        <v>119.0</v>
      </c>
      <c r="AE166" s="7">
        <v>88.0</v>
      </c>
      <c r="AF166" s="7">
        <v>0.0</v>
      </c>
      <c r="AG166" s="7">
        <v>88.0</v>
      </c>
      <c r="AH166" s="7">
        <v>6.0</v>
      </c>
      <c r="AI166" s="7">
        <v>0.0</v>
      </c>
      <c r="AJ166" s="7">
        <v>6.0</v>
      </c>
      <c r="AK166" s="7">
        <v>0.0</v>
      </c>
      <c r="AL166" s="7">
        <v>0.0</v>
      </c>
      <c r="AM166" s="7">
        <v>6.0</v>
      </c>
      <c r="AN166" s="8">
        <v>252.0</v>
      </c>
      <c r="AO166" s="4">
        <v>100.0</v>
      </c>
    </row>
    <row r="167">
      <c r="A167" s="3" t="s">
        <v>41</v>
      </c>
      <c r="B167" s="4">
        <v>40268.0</v>
      </c>
      <c r="C167" s="9">
        <v>46026.0</v>
      </c>
      <c r="D167" s="4" t="s">
        <v>43</v>
      </c>
      <c r="E167" s="3" t="s">
        <v>44</v>
      </c>
      <c r="F167" s="4">
        <v>89819.0</v>
      </c>
      <c r="G167" s="3" t="s">
        <v>560</v>
      </c>
      <c r="H167" s="3" t="s">
        <v>561</v>
      </c>
      <c r="I167" s="4">
        <v>9.506985299E9</v>
      </c>
      <c r="J167" s="5">
        <v>46134.87342592593</v>
      </c>
      <c r="K167" s="3" t="s">
        <v>124</v>
      </c>
      <c r="L167" s="3" t="s">
        <v>161</v>
      </c>
      <c r="M167" s="3" t="s">
        <v>162</v>
      </c>
      <c r="N167" s="3" t="s">
        <v>50</v>
      </c>
      <c r="O167" s="3" t="s">
        <v>51</v>
      </c>
      <c r="P167" s="6">
        <v>46117.0</v>
      </c>
      <c r="Q167" s="7" t="s">
        <v>125</v>
      </c>
      <c r="R167" s="4">
        <v>1780.0</v>
      </c>
      <c r="S167" s="3" t="s">
        <v>222</v>
      </c>
      <c r="T167" s="3" t="s">
        <v>54</v>
      </c>
      <c r="U167" s="3" t="s">
        <v>68</v>
      </c>
      <c r="V167" s="3" t="s">
        <v>69</v>
      </c>
      <c r="W167" s="3" t="s">
        <v>70</v>
      </c>
      <c r="X167" s="3" t="s">
        <v>58</v>
      </c>
      <c r="Y167" s="3" t="s">
        <v>59</v>
      </c>
      <c r="Z167" s="4">
        <v>6.0</v>
      </c>
      <c r="AA167" s="3" t="s">
        <v>80</v>
      </c>
      <c r="AB167" s="7">
        <v>110.0</v>
      </c>
      <c r="AC167" s="7">
        <v>0.0</v>
      </c>
      <c r="AD167" s="7">
        <v>110.0</v>
      </c>
      <c r="AE167" s="7">
        <v>65.0</v>
      </c>
      <c r="AF167" s="7">
        <v>0.0</v>
      </c>
      <c r="AG167" s="7">
        <v>65.0</v>
      </c>
      <c r="AH167" s="7">
        <v>8.0</v>
      </c>
      <c r="AI167" s="7">
        <v>0.0</v>
      </c>
      <c r="AJ167" s="7">
        <v>8.0</v>
      </c>
      <c r="AK167" s="7">
        <v>0.0</v>
      </c>
      <c r="AL167" s="7">
        <v>0.0</v>
      </c>
      <c r="AM167" s="7">
        <v>8.0</v>
      </c>
      <c r="AN167" s="8">
        <v>106.0</v>
      </c>
      <c r="AO167" s="4">
        <v>94.64</v>
      </c>
    </row>
    <row r="168">
      <c r="A168" s="3" t="s">
        <v>41</v>
      </c>
      <c r="B168" s="4">
        <v>40357.0</v>
      </c>
      <c r="C168" s="9">
        <v>46026.0</v>
      </c>
      <c r="D168" s="4" t="s">
        <v>43</v>
      </c>
      <c r="E168" s="3" t="s">
        <v>44</v>
      </c>
      <c r="F168" s="4">
        <v>89796.0</v>
      </c>
      <c r="G168" s="3" t="s">
        <v>562</v>
      </c>
      <c r="H168" s="3" t="s">
        <v>563</v>
      </c>
      <c r="I168" s="4">
        <v>7.684013759E9</v>
      </c>
      <c r="J168" s="5">
        <v>46134.614953703705</v>
      </c>
      <c r="K168" s="3" t="s">
        <v>124</v>
      </c>
      <c r="L168" s="3" t="s">
        <v>94</v>
      </c>
      <c r="M168" s="3" t="s">
        <v>64</v>
      </c>
      <c r="N168" s="3" t="s">
        <v>50</v>
      </c>
      <c r="O168" s="3" t="s">
        <v>51</v>
      </c>
      <c r="P168" s="6">
        <v>46117.0</v>
      </c>
      <c r="Q168" s="7" t="s">
        <v>106</v>
      </c>
      <c r="R168" s="4">
        <v>1793.0</v>
      </c>
      <c r="S168" s="3" t="s">
        <v>158</v>
      </c>
      <c r="T168" s="3" t="s">
        <v>54</v>
      </c>
      <c r="U168" s="3" t="s">
        <v>79</v>
      </c>
      <c r="V168" s="3" t="s">
        <v>69</v>
      </c>
      <c r="W168" s="3" t="s">
        <v>70</v>
      </c>
      <c r="X168" s="3" t="s">
        <v>58</v>
      </c>
      <c r="Y168" s="3" t="s">
        <v>59</v>
      </c>
      <c r="Z168" s="4">
        <v>6.0</v>
      </c>
      <c r="AA168" s="3" t="s">
        <v>80</v>
      </c>
      <c r="AB168" s="7">
        <v>100.0</v>
      </c>
      <c r="AC168" s="7">
        <v>0.0</v>
      </c>
      <c r="AD168" s="7">
        <v>100.0</v>
      </c>
      <c r="AE168" s="7">
        <v>66.0</v>
      </c>
      <c r="AF168" s="7">
        <v>0.0</v>
      </c>
      <c r="AG168" s="7">
        <v>66.0</v>
      </c>
      <c r="AH168" s="7">
        <v>8.0</v>
      </c>
      <c r="AI168" s="7">
        <v>0.0</v>
      </c>
      <c r="AJ168" s="7">
        <v>8.0</v>
      </c>
      <c r="AK168" s="7">
        <v>0.0</v>
      </c>
      <c r="AL168" s="7">
        <v>0.0</v>
      </c>
      <c r="AM168" s="7">
        <v>8.0</v>
      </c>
      <c r="AN168" s="8">
        <v>126.0</v>
      </c>
      <c r="AO168" s="4">
        <v>78.75</v>
      </c>
    </row>
    <row r="169">
      <c r="A169" s="3" t="s">
        <v>41</v>
      </c>
      <c r="B169" s="4">
        <v>40274.0</v>
      </c>
      <c r="C169" s="9">
        <v>46026.0</v>
      </c>
      <c r="D169" s="4" t="s">
        <v>43</v>
      </c>
      <c r="E169" s="3" t="s">
        <v>44</v>
      </c>
      <c r="F169" s="4">
        <v>89656.0</v>
      </c>
      <c r="G169" s="3" t="s">
        <v>564</v>
      </c>
      <c r="H169" s="3" t="s">
        <v>565</v>
      </c>
      <c r="I169" s="4">
        <v>9.83016211E9</v>
      </c>
      <c r="J169" s="5">
        <v>46131.609131944446</v>
      </c>
      <c r="K169" s="3" t="s">
        <v>47</v>
      </c>
      <c r="L169" s="3" t="s">
        <v>566</v>
      </c>
      <c r="M169" s="3" t="s">
        <v>175</v>
      </c>
      <c r="N169" s="3" t="s">
        <v>50</v>
      </c>
      <c r="O169" s="3" t="s">
        <v>65</v>
      </c>
      <c r="P169" s="6">
        <v>46117.0</v>
      </c>
      <c r="Q169" s="7" t="s">
        <v>125</v>
      </c>
      <c r="R169" s="4">
        <v>1792.0</v>
      </c>
      <c r="S169" s="3" t="s">
        <v>275</v>
      </c>
      <c r="T169" s="3" t="s">
        <v>54</v>
      </c>
      <c r="U169" s="3" t="s">
        <v>79</v>
      </c>
      <c r="V169" s="3" t="s">
        <v>69</v>
      </c>
      <c r="W169" s="3" t="s">
        <v>70</v>
      </c>
      <c r="X169" s="3" t="s">
        <v>58</v>
      </c>
      <c r="Y169" s="3" t="s">
        <v>59</v>
      </c>
      <c r="Z169" s="4">
        <v>6.0</v>
      </c>
      <c r="AA169" s="3" t="s">
        <v>80</v>
      </c>
      <c r="AB169" s="7">
        <v>333.0</v>
      </c>
      <c r="AC169" s="7">
        <v>0.0</v>
      </c>
      <c r="AD169" s="7">
        <v>333.0</v>
      </c>
      <c r="AE169" s="7">
        <v>117.0</v>
      </c>
      <c r="AF169" s="7">
        <v>0.0</v>
      </c>
      <c r="AG169" s="7">
        <v>117.0</v>
      </c>
      <c r="AH169" s="7">
        <v>8.0</v>
      </c>
      <c r="AI169" s="7">
        <v>0.0</v>
      </c>
      <c r="AJ169" s="7">
        <v>8.0</v>
      </c>
      <c r="AK169" s="7">
        <v>0.0</v>
      </c>
      <c r="AL169" s="7">
        <v>0.0</v>
      </c>
      <c r="AM169" s="7">
        <v>8.0</v>
      </c>
      <c r="AN169" s="8">
        <v>82.0</v>
      </c>
      <c r="AO169" s="4">
        <v>93.18</v>
      </c>
    </row>
    <row r="170">
      <c r="A170" s="3" t="s">
        <v>41</v>
      </c>
      <c r="B170" s="4">
        <v>40249.0</v>
      </c>
      <c r="C170" s="9">
        <v>46026.0</v>
      </c>
      <c r="D170" s="4" t="s">
        <v>43</v>
      </c>
      <c r="E170" s="3" t="s">
        <v>44</v>
      </c>
      <c r="F170" s="4">
        <v>88818.0</v>
      </c>
      <c r="G170" s="3" t="s">
        <v>567</v>
      </c>
      <c r="H170" s="3" t="s">
        <v>568</v>
      </c>
      <c r="I170" s="4">
        <v>7.276303356E9</v>
      </c>
      <c r="J170" s="5">
        <v>46077.037824074076</v>
      </c>
      <c r="K170" s="3" t="s">
        <v>47</v>
      </c>
      <c r="L170" s="3" t="s">
        <v>94</v>
      </c>
      <c r="M170" s="3" t="s">
        <v>64</v>
      </c>
      <c r="N170" s="3" t="s">
        <v>50</v>
      </c>
      <c r="O170" s="3" t="s">
        <v>65</v>
      </c>
      <c r="P170" s="6">
        <v>46027.0</v>
      </c>
      <c r="Q170" s="7" t="s">
        <v>66</v>
      </c>
      <c r="R170" s="4">
        <v>1785.0</v>
      </c>
      <c r="S170" s="3" t="s">
        <v>209</v>
      </c>
      <c r="T170" s="3" t="s">
        <v>54</v>
      </c>
      <c r="U170" s="3" t="s">
        <v>79</v>
      </c>
      <c r="V170" s="3" t="s">
        <v>69</v>
      </c>
      <c r="W170" s="3" t="s">
        <v>70</v>
      </c>
      <c r="X170" s="3" t="s">
        <v>58</v>
      </c>
      <c r="Y170" s="3" t="s">
        <v>59</v>
      </c>
      <c r="Z170" s="4">
        <v>6.0</v>
      </c>
      <c r="AA170" s="3" t="s">
        <v>60</v>
      </c>
      <c r="AB170" s="7">
        <v>112.0</v>
      </c>
      <c r="AC170" s="7">
        <v>0.0</v>
      </c>
      <c r="AD170" s="7">
        <v>112.0</v>
      </c>
      <c r="AE170" s="7">
        <v>75.0</v>
      </c>
      <c r="AF170" s="7">
        <v>0.0</v>
      </c>
      <c r="AG170" s="7">
        <v>75.0</v>
      </c>
      <c r="AH170" s="7">
        <v>8.0</v>
      </c>
      <c r="AI170" s="7">
        <v>0.0</v>
      </c>
      <c r="AJ170" s="7">
        <v>8.0</v>
      </c>
      <c r="AK170" s="7">
        <v>0.0</v>
      </c>
      <c r="AL170" s="7">
        <v>0.0</v>
      </c>
      <c r="AM170" s="7">
        <v>8.0</v>
      </c>
      <c r="AN170" s="8">
        <v>107.0</v>
      </c>
      <c r="AO170" s="4">
        <v>78.68</v>
      </c>
    </row>
    <row r="171">
      <c r="A171" s="3" t="s">
        <v>41</v>
      </c>
      <c r="B171" s="4">
        <v>40234.0</v>
      </c>
      <c r="C171" s="9">
        <v>46026.0</v>
      </c>
      <c r="D171" s="4" t="s">
        <v>43</v>
      </c>
      <c r="E171" s="3" t="s">
        <v>44</v>
      </c>
      <c r="F171" s="4">
        <v>88647.0</v>
      </c>
      <c r="G171" s="3" t="s">
        <v>569</v>
      </c>
      <c r="H171" s="3" t="s">
        <v>570</v>
      </c>
      <c r="I171" s="4">
        <v>7.821970363E9</v>
      </c>
      <c r="J171" s="5">
        <v>46067.80412037037</v>
      </c>
      <c r="K171" s="3" t="s">
        <v>453</v>
      </c>
      <c r="L171" s="3" t="s">
        <v>161</v>
      </c>
      <c r="M171" s="3" t="s">
        <v>162</v>
      </c>
      <c r="N171" s="3" t="s">
        <v>50</v>
      </c>
      <c r="O171" s="3" t="s">
        <v>65</v>
      </c>
      <c r="P171" s="6">
        <v>46147.0</v>
      </c>
      <c r="Q171" s="7" t="s">
        <v>77</v>
      </c>
      <c r="R171" s="4">
        <v>1774.0</v>
      </c>
      <c r="S171" s="3" t="s">
        <v>102</v>
      </c>
      <c r="T171" s="3" t="s">
        <v>54</v>
      </c>
      <c r="U171" s="3" t="s">
        <v>79</v>
      </c>
      <c r="V171" s="3" t="s">
        <v>69</v>
      </c>
      <c r="W171" s="3" t="s">
        <v>70</v>
      </c>
      <c r="X171" s="3" t="s">
        <v>58</v>
      </c>
      <c r="Y171" s="3" t="s">
        <v>59</v>
      </c>
      <c r="Z171" s="4">
        <v>6.0</v>
      </c>
      <c r="AA171" s="3" t="s">
        <v>80</v>
      </c>
      <c r="AB171" s="7">
        <v>104.0</v>
      </c>
      <c r="AC171" s="7">
        <v>0.0</v>
      </c>
      <c r="AD171" s="7">
        <v>104.0</v>
      </c>
      <c r="AE171" s="7">
        <v>65.0</v>
      </c>
      <c r="AF171" s="7">
        <v>0.0</v>
      </c>
      <c r="AG171" s="7">
        <v>65.0</v>
      </c>
      <c r="AH171" s="7">
        <v>8.0</v>
      </c>
      <c r="AI171" s="7">
        <v>0.0</v>
      </c>
      <c r="AJ171" s="7">
        <v>8.0</v>
      </c>
      <c r="AK171" s="7">
        <v>0.0</v>
      </c>
      <c r="AL171" s="7">
        <v>0.0</v>
      </c>
      <c r="AM171" s="7">
        <v>8.0</v>
      </c>
      <c r="AN171" s="8">
        <v>73.0</v>
      </c>
      <c r="AO171" s="4">
        <v>76.04</v>
      </c>
    </row>
    <row r="172">
      <c r="A172" s="3" t="s">
        <v>41</v>
      </c>
      <c r="B172" s="4">
        <v>40385.0</v>
      </c>
      <c r="C172" s="4" t="s">
        <v>127</v>
      </c>
      <c r="D172" s="4" t="s">
        <v>128</v>
      </c>
      <c r="E172" s="3" t="s">
        <v>44</v>
      </c>
      <c r="F172" s="4">
        <v>61941.0</v>
      </c>
      <c r="G172" s="3" t="s">
        <v>571</v>
      </c>
      <c r="H172" s="3" t="s">
        <v>572</v>
      </c>
      <c r="I172" s="4">
        <v>8.800418954E9</v>
      </c>
      <c r="J172" s="5">
        <v>44934.32813657408</v>
      </c>
      <c r="K172" s="3" t="s">
        <v>47</v>
      </c>
      <c r="L172" s="3" t="s">
        <v>161</v>
      </c>
      <c r="M172" s="3" t="s">
        <v>162</v>
      </c>
      <c r="N172" s="3" t="s">
        <v>50</v>
      </c>
      <c r="O172" s="3" t="s">
        <v>51</v>
      </c>
      <c r="P172" s="6">
        <v>46147.0</v>
      </c>
      <c r="Q172" s="7" t="s">
        <v>52</v>
      </c>
      <c r="R172" s="4">
        <v>1689.0</v>
      </c>
      <c r="S172" s="3" t="s">
        <v>475</v>
      </c>
      <c r="T172" s="3" t="s">
        <v>135</v>
      </c>
      <c r="U172" s="3" t="s">
        <v>136</v>
      </c>
      <c r="V172" s="3" t="s">
        <v>56</v>
      </c>
      <c r="W172" s="3" t="s">
        <v>57</v>
      </c>
      <c r="X172" s="3" t="s">
        <v>58</v>
      </c>
      <c r="Y172" s="3" t="s">
        <v>59</v>
      </c>
      <c r="Z172" s="4">
        <v>6.0</v>
      </c>
      <c r="AA172" s="3" t="s">
        <v>60</v>
      </c>
      <c r="AB172" s="7">
        <v>106.0</v>
      </c>
      <c r="AC172" s="7">
        <v>46.0</v>
      </c>
      <c r="AD172" s="7">
        <v>59.0</v>
      </c>
      <c r="AE172" s="7">
        <v>58.0</v>
      </c>
      <c r="AF172" s="7">
        <v>27.0</v>
      </c>
      <c r="AG172" s="7">
        <v>30.0</v>
      </c>
      <c r="AH172" s="7">
        <v>6.0</v>
      </c>
      <c r="AI172" s="7">
        <v>0.0</v>
      </c>
      <c r="AJ172" s="7">
        <v>6.0</v>
      </c>
      <c r="AK172" s="7">
        <v>0.0</v>
      </c>
      <c r="AL172" s="7">
        <v>0.0</v>
      </c>
      <c r="AM172" s="7">
        <v>6.0</v>
      </c>
      <c r="AN172" s="8">
        <v>144.0</v>
      </c>
      <c r="AO172" s="4">
        <v>88.89</v>
      </c>
    </row>
    <row r="173">
      <c r="A173" s="3" t="s">
        <v>41</v>
      </c>
      <c r="B173" s="4">
        <v>40429.0</v>
      </c>
      <c r="C173" s="4" t="s">
        <v>127</v>
      </c>
      <c r="D173" s="4" t="s">
        <v>128</v>
      </c>
      <c r="E173" s="3" t="s">
        <v>44</v>
      </c>
      <c r="F173" s="4">
        <v>61941.0</v>
      </c>
      <c r="G173" s="3" t="s">
        <v>571</v>
      </c>
      <c r="H173" s="3" t="s">
        <v>572</v>
      </c>
      <c r="I173" s="4">
        <v>8.800418954E9</v>
      </c>
      <c r="J173" s="5">
        <v>44934.32813657408</v>
      </c>
      <c r="K173" s="3" t="s">
        <v>47</v>
      </c>
      <c r="L173" s="3" t="s">
        <v>161</v>
      </c>
      <c r="M173" s="3" t="s">
        <v>162</v>
      </c>
      <c r="N173" s="3" t="s">
        <v>50</v>
      </c>
      <c r="O173" s="3" t="s">
        <v>51</v>
      </c>
      <c r="P173" s="6">
        <v>46147.0</v>
      </c>
      <c r="Q173" s="7" t="s">
        <v>52</v>
      </c>
      <c r="R173" s="4">
        <v>1690.0</v>
      </c>
      <c r="S173" s="3" t="s">
        <v>476</v>
      </c>
      <c r="T173" s="3" t="s">
        <v>135</v>
      </c>
      <c r="U173" s="3" t="s">
        <v>136</v>
      </c>
      <c r="V173" s="3" t="s">
        <v>56</v>
      </c>
      <c r="W173" s="3" t="s">
        <v>57</v>
      </c>
      <c r="X173" s="3" t="s">
        <v>58</v>
      </c>
      <c r="Y173" s="3" t="s">
        <v>59</v>
      </c>
      <c r="Z173" s="4">
        <v>6.0</v>
      </c>
      <c r="AA173" s="3" t="s">
        <v>60</v>
      </c>
      <c r="AB173" s="7">
        <v>142.0</v>
      </c>
      <c r="AC173" s="7">
        <v>69.0</v>
      </c>
      <c r="AD173" s="7">
        <v>73.0</v>
      </c>
      <c r="AE173" s="7">
        <v>78.0</v>
      </c>
      <c r="AF173" s="7">
        <v>40.0</v>
      </c>
      <c r="AG173" s="7">
        <v>38.0</v>
      </c>
      <c r="AH173" s="7">
        <v>6.0</v>
      </c>
      <c r="AI173" s="7">
        <v>0.0</v>
      </c>
      <c r="AJ173" s="7">
        <v>6.0</v>
      </c>
      <c r="AK173" s="7">
        <v>0.0</v>
      </c>
      <c r="AL173" s="7">
        <v>0.0</v>
      </c>
      <c r="AM173" s="7">
        <v>6.0</v>
      </c>
      <c r="AN173" s="8">
        <v>207.0</v>
      </c>
      <c r="AO173" s="4">
        <v>88.46</v>
      </c>
    </row>
    <row r="174">
      <c r="A174" s="3" t="s">
        <v>41</v>
      </c>
      <c r="B174" s="4">
        <v>40256.0</v>
      </c>
      <c r="C174" s="9">
        <v>46026.0</v>
      </c>
      <c r="D174" s="4" t="s">
        <v>43</v>
      </c>
      <c r="E174" s="3" t="s">
        <v>44</v>
      </c>
      <c r="F174" s="4">
        <v>87331.0</v>
      </c>
      <c r="G174" s="3" t="s">
        <v>573</v>
      </c>
      <c r="H174" s="3" t="s">
        <v>574</v>
      </c>
      <c r="I174" s="4">
        <v>8.989255312E9</v>
      </c>
      <c r="J174" s="5">
        <v>45997.70712962963</v>
      </c>
      <c r="K174" s="3" t="s">
        <v>47</v>
      </c>
      <c r="L174" s="3" t="s">
        <v>156</v>
      </c>
      <c r="M174" s="3" t="s">
        <v>157</v>
      </c>
      <c r="N174" s="3" t="s">
        <v>50</v>
      </c>
      <c r="O174" s="3" t="s">
        <v>65</v>
      </c>
      <c r="P174" s="6">
        <v>46027.0</v>
      </c>
      <c r="Q174" s="7" t="s">
        <v>66</v>
      </c>
      <c r="R174" s="4">
        <v>1784.0</v>
      </c>
      <c r="S174" s="3" t="s">
        <v>342</v>
      </c>
      <c r="T174" s="3" t="s">
        <v>54</v>
      </c>
      <c r="U174" s="3" t="s">
        <v>79</v>
      </c>
      <c r="V174" s="3" t="s">
        <v>69</v>
      </c>
      <c r="W174" s="3" t="s">
        <v>70</v>
      </c>
      <c r="X174" s="3" t="s">
        <v>58</v>
      </c>
      <c r="Y174" s="3" t="s">
        <v>59</v>
      </c>
      <c r="Z174" s="4">
        <v>7.0</v>
      </c>
      <c r="AA174" s="3" t="s">
        <v>60</v>
      </c>
      <c r="AB174" s="7">
        <v>248.0</v>
      </c>
      <c r="AC174" s="7">
        <v>0.0</v>
      </c>
      <c r="AD174" s="7">
        <v>248.0</v>
      </c>
      <c r="AE174" s="7">
        <v>138.0</v>
      </c>
      <c r="AF174" s="7">
        <v>0.0</v>
      </c>
      <c r="AG174" s="7">
        <v>138.0</v>
      </c>
      <c r="AH174" s="7">
        <v>8.0</v>
      </c>
      <c r="AI174" s="7">
        <v>0.0</v>
      </c>
      <c r="AJ174" s="7">
        <v>8.0</v>
      </c>
      <c r="AK174" s="7">
        <v>0.0</v>
      </c>
      <c r="AL174" s="7">
        <v>0.0</v>
      </c>
      <c r="AM174" s="7">
        <v>8.0</v>
      </c>
      <c r="AN174" s="8">
        <v>136.0</v>
      </c>
      <c r="AO174" s="4">
        <v>100.0</v>
      </c>
    </row>
    <row r="175">
      <c r="A175" s="3" t="s">
        <v>41</v>
      </c>
      <c r="B175" s="4">
        <v>40338.0</v>
      </c>
      <c r="C175" s="9">
        <v>46026.0</v>
      </c>
      <c r="D175" s="4" t="s">
        <v>43</v>
      </c>
      <c r="E175" s="3" t="s">
        <v>44</v>
      </c>
      <c r="F175" s="4">
        <v>89726.0</v>
      </c>
      <c r="G175" s="3" t="s">
        <v>575</v>
      </c>
      <c r="H175" s="3" t="s">
        <v>576</v>
      </c>
      <c r="I175" s="4">
        <v>9.730255655E9</v>
      </c>
      <c r="J175" s="5">
        <v>46134.526550925926</v>
      </c>
      <c r="K175" s="3" t="s">
        <v>124</v>
      </c>
      <c r="L175" s="3" t="s">
        <v>94</v>
      </c>
      <c r="M175" s="3" t="s">
        <v>64</v>
      </c>
      <c r="N175" s="3" t="s">
        <v>50</v>
      </c>
      <c r="O175" s="3" t="s">
        <v>51</v>
      </c>
      <c r="P175" s="6">
        <v>46117.0</v>
      </c>
      <c r="Q175" s="7" t="s">
        <v>125</v>
      </c>
      <c r="R175" s="4">
        <v>1786.0</v>
      </c>
      <c r="S175" s="3" t="s">
        <v>380</v>
      </c>
      <c r="T175" s="3" t="s">
        <v>54</v>
      </c>
      <c r="U175" s="3" t="s">
        <v>79</v>
      </c>
      <c r="V175" s="3" t="s">
        <v>69</v>
      </c>
      <c r="W175" s="3" t="s">
        <v>70</v>
      </c>
      <c r="X175" s="3" t="s">
        <v>58</v>
      </c>
      <c r="Y175" s="3" t="s">
        <v>59</v>
      </c>
      <c r="Z175" s="4">
        <v>6.0</v>
      </c>
      <c r="AA175" s="3" t="s">
        <v>80</v>
      </c>
      <c r="AB175" s="7">
        <v>102.0</v>
      </c>
      <c r="AC175" s="7">
        <v>0.0</v>
      </c>
      <c r="AD175" s="7">
        <v>102.0</v>
      </c>
      <c r="AE175" s="7">
        <v>74.0</v>
      </c>
      <c r="AF175" s="7">
        <v>0.0</v>
      </c>
      <c r="AG175" s="7">
        <v>74.0</v>
      </c>
      <c r="AH175" s="7">
        <v>8.0</v>
      </c>
      <c r="AI175" s="7">
        <v>0.0</v>
      </c>
      <c r="AJ175" s="7">
        <v>8.0</v>
      </c>
      <c r="AK175" s="7">
        <v>0.0</v>
      </c>
      <c r="AL175" s="7">
        <v>0.0</v>
      </c>
      <c r="AM175" s="7">
        <v>8.0</v>
      </c>
      <c r="AN175" s="8">
        <v>168.0</v>
      </c>
      <c r="AO175" s="4">
        <v>100.0</v>
      </c>
    </row>
    <row r="176">
      <c r="A176" s="3" t="s">
        <v>41</v>
      </c>
      <c r="B176" s="4">
        <v>40222.0</v>
      </c>
      <c r="C176" s="9">
        <v>46026.0</v>
      </c>
      <c r="D176" s="4" t="s">
        <v>43</v>
      </c>
      <c r="E176" s="3" t="s">
        <v>44</v>
      </c>
      <c r="F176" s="4">
        <v>89738.0</v>
      </c>
      <c r="G176" s="3" t="s">
        <v>577</v>
      </c>
      <c r="H176" s="3" t="s">
        <v>578</v>
      </c>
      <c r="I176" s="4">
        <v>9.883979229E9</v>
      </c>
      <c r="J176" s="5">
        <v>46134.53083333333</v>
      </c>
      <c r="K176" s="3" t="s">
        <v>124</v>
      </c>
      <c r="L176" s="3" t="s">
        <v>161</v>
      </c>
      <c r="M176" s="3" t="s">
        <v>162</v>
      </c>
      <c r="N176" s="3" t="s">
        <v>50</v>
      </c>
      <c r="O176" s="3" t="s">
        <v>51</v>
      </c>
      <c r="P176" s="6">
        <v>46117.0</v>
      </c>
      <c r="Q176" s="7" t="s">
        <v>125</v>
      </c>
      <c r="R176" s="4">
        <v>1775.0</v>
      </c>
      <c r="S176" s="3" t="s">
        <v>295</v>
      </c>
      <c r="T176" s="3" t="s">
        <v>54</v>
      </c>
      <c r="U176" s="3" t="s">
        <v>79</v>
      </c>
      <c r="V176" s="3" t="s">
        <v>69</v>
      </c>
      <c r="W176" s="3" t="s">
        <v>70</v>
      </c>
      <c r="X176" s="3" t="s">
        <v>58</v>
      </c>
      <c r="Y176" s="3" t="s">
        <v>59</v>
      </c>
      <c r="Z176" s="4">
        <v>7.0</v>
      </c>
      <c r="AA176" s="3" t="s">
        <v>146</v>
      </c>
      <c r="AB176" s="7">
        <v>97.0</v>
      </c>
      <c r="AC176" s="7">
        <v>0.0</v>
      </c>
      <c r="AD176" s="7">
        <v>97.0</v>
      </c>
      <c r="AE176" s="7">
        <v>49.0</v>
      </c>
      <c r="AF176" s="7">
        <v>0.0</v>
      </c>
      <c r="AG176" s="7">
        <v>49.0</v>
      </c>
      <c r="AH176" s="7">
        <v>8.0</v>
      </c>
      <c r="AI176" s="7">
        <v>0.0</v>
      </c>
      <c r="AJ176" s="7">
        <v>8.0</v>
      </c>
      <c r="AK176" s="7">
        <v>0.0</v>
      </c>
      <c r="AL176" s="7">
        <v>0.0</v>
      </c>
      <c r="AM176" s="7">
        <v>8.0</v>
      </c>
      <c r="AN176" s="8">
        <v>120.0</v>
      </c>
      <c r="AO176" s="4">
        <v>88.24</v>
      </c>
    </row>
    <row r="177">
      <c r="A177" s="3" t="s">
        <v>41</v>
      </c>
      <c r="B177" s="4">
        <v>40379.0</v>
      </c>
      <c r="C177" s="4" t="s">
        <v>42</v>
      </c>
      <c r="D177" s="4" t="s">
        <v>43</v>
      </c>
      <c r="E177" s="3" t="s">
        <v>44</v>
      </c>
      <c r="F177" s="4">
        <v>81255.0</v>
      </c>
      <c r="G177" s="3" t="s">
        <v>579</v>
      </c>
      <c r="H177" s="3" t="s">
        <v>580</v>
      </c>
      <c r="I177" s="4">
        <v>9.654525959E9</v>
      </c>
      <c r="J177" s="5">
        <v>45783.798472222225</v>
      </c>
      <c r="K177" s="3" t="s">
        <v>47</v>
      </c>
      <c r="L177" s="3" t="s">
        <v>139</v>
      </c>
      <c r="M177" s="3" t="s">
        <v>140</v>
      </c>
      <c r="N177" s="3" t="s">
        <v>50</v>
      </c>
      <c r="O177" s="3" t="s">
        <v>51</v>
      </c>
      <c r="P177" s="6">
        <v>46058.0</v>
      </c>
      <c r="Q177" s="7" t="s">
        <v>106</v>
      </c>
      <c r="R177" s="4">
        <v>1943.0</v>
      </c>
      <c r="S177" s="3" t="s">
        <v>581</v>
      </c>
      <c r="T177" s="3" t="s">
        <v>54</v>
      </c>
      <c r="U177" s="3" t="s">
        <v>108</v>
      </c>
      <c r="V177" s="3" t="s">
        <v>56</v>
      </c>
      <c r="W177" s="3" t="s">
        <v>57</v>
      </c>
      <c r="X177" s="3" t="s">
        <v>58</v>
      </c>
      <c r="Y177" s="3" t="s">
        <v>59</v>
      </c>
      <c r="Z177" s="4">
        <v>8.0</v>
      </c>
      <c r="AA177" s="3" t="s">
        <v>60</v>
      </c>
      <c r="AB177" s="7">
        <v>65.0</v>
      </c>
      <c r="AC177" s="7">
        <v>0.0</v>
      </c>
      <c r="AD177" s="7">
        <v>65.0</v>
      </c>
      <c r="AE177" s="7">
        <v>63.0</v>
      </c>
      <c r="AF177" s="7">
        <v>0.0</v>
      </c>
      <c r="AG177" s="7">
        <v>63.0</v>
      </c>
      <c r="AH177" s="7">
        <v>8.0</v>
      </c>
      <c r="AI177" s="7">
        <v>0.0</v>
      </c>
      <c r="AJ177" s="7">
        <v>7.0</v>
      </c>
      <c r="AK177" s="7">
        <v>1.0</v>
      </c>
      <c r="AL177" s="7">
        <v>0.0</v>
      </c>
      <c r="AM177" s="7">
        <v>8.0</v>
      </c>
      <c r="AN177" s="8">
        <v>174.0</v>
      </c>
      <c r="AO177" s="4">
        <v>63.97</v>
      </c>
    </row>
    <row r="178">
      <c r="A178" s="3" t="s">
        <v>41</v>
      </c>
      <c r="B178" s="4">
        <v>40229.0</v>
      </c>
      <c r="C178" s="9">
        <v>46299.0</v>
      </c>
      <c r="D178" s="4" t="s">
        <v>81</v>
      </c>
      <c r="E178" s="3" t="s">
        <v>44</v>
      </c>
      <c r="F178" s="4">
        <v>79567.0</v>
      </c>
      <c r="G178" s="3" t="s">
        <v>582</v>
      </c>
      <c r="H178" s="3" t="s">
        <v>583</v>
      </c>
      <c r="I178" s="4">
        <v>9.470450337E9</v>
      </c>
      <c r="J178" s="5">
        <v>45666.06178240741</v>
      </c>
      <c r="K178" s="3" t="s">
        <v>47</v>
      </c>
      <c r="L178" s="3" t="s">
        <v>584</v>
      </c>
      <c r="M178" s="3" t="s">
        <v>529</v>
      </c>
      <c r="N178" s="3" t="s">
        <v>50</v>
      </c>
      <c r="O178" s="3" t="s">
        <v>101</v>
      </c>
      <c r="P178" s="6">
        <v>46058.0</v>
      </c>
      <c r="Q178" s="7" t="s">
        <v>66</v>
      </c>
      <c r="R178" s="4">
        <v>1758.0</v>
      </c>
      <c r="S178" s="3" t="s">
        <v>190</v>
      </c>
      <c r="T178" s="3" t="s">
        <v>191</v>
      </c>
      <c r="U178" s="3" t="s">
        <v>192</v>
      </c>
      <c r="V178" s="3" t="s">
        <v>89</v>
      </c>
      <c r="W178" s="3" t="s">
        <v>57</v>
      </c>
      <c r="X178" s="3" t="s">
        <v>58</v>
      </c>
      <c r="Y178" s="3" t="s">
        <v>59</v>
      </c>
      <c r="Z178" s="4">
        <v>8.0</v>
      </c>
      <c r="AA178" s="3" t="s">
        <v>90</v>
      </c>
      <c r="AB178" s="7">
        <v>31.0</v>
      </c>
      <c r="AC178" s="7">
        <v>17.0</v>
      </c>
      <c r="AD178" s="7">
        <v>14.0</v>
      </c>
      <c r="AE178" s="7">
        <v>31.0</v>
      </c>
      <c r="AF178" s="7">
        <v>17.0</v>
      </c>
      <c r="AG178" s="7">
        <v>14.0</v>
      </c>
      <c r="AH178" s="7">
        <v>7.0</v>
      </c>
      <c r="AI178" s="7">
        <v>0.0</v>
      </c>
      <c r="AJ178" s="7">
        <v>3.0</v>
      </c>
      <c r="AK178" s="7">
        <v>0.0</v>
      </c>
      <c r="AL178" s="7">
        <v>4.0</v>
      </c>
      <c r="AM178" s="7">
        <v>3.0</v>
      </c>
      <c r="AN178" s="8">
        <v>33.0</v>
      </c>
      <c r="AO178" s="4">
        <v>100.0</v>
      </c>
    </row>
    <row r="179">
      <c r="A179" s="3" t="s">
        <v>41</v>
      </c>
      <c r="B179" s="4">
        <v>40376.0</v>
      </c>
      <c r="C179" s="4" t="s">
        <v>42</v>
      </c>
      <c r="D179" s="4" t="s">
        <v>43</v>
      </c>
      <c r="E179" s="3" t="s">
        <v>44</v>
      </c>
      <c r="F179" s="4">
        <v>82527.0</v>
      </c>
      <c r="G179" s="3" t="s">
        <v>585</v>
      </c>
      <c r="H179" s="3" t="s">
        <v>586</v>
      </c>
      <c r="I179" s="4">
        <v>8.178586618E9</v>
      </c>
      <c r="J179" s="5">
        <v>45837.8978587963</v>
      </c>
      <c r="K179" s="3" t="s">
        <v>47</v>
      </c>
      <c r="L179" s="3" t="s">
        <v>587</v>
      </c>
      <c r="M179" s="3" t="s">
        <v>54</v>
      </c>
      <c r="N179" s="3" t="s">
        <v>50</v>
      </c>
      <c r="O179" s="3" t="s">
        <v>65</v>
      </c>
      <c r="P179" s="6">
        <v>46117.0</v>
      </c>
      <c r="Q179" s="7" t="s">
        <v>85</v>
      </c>
      <c r="R179" s="4">
        <v>1946.0</v>
      </c>
      <c r="S179" s="3" t="s">
        <v>107</v>
      </c>
      <c r="T179" s="3" t="s">
        <v>54</v>
      </c>
      <c r="U179" s="3" t="s">
        <v>108</v>
      </c>
      <c r="V179" s="3" t="s">
        <v>56</v>
      </c>
      <c r="W179" s="3" t="s">
        <v>57</v>
      </c>
      <c r="X179" s="3" t="s">
        <v>58</v>
      </c>
      <c r="Y179" s="3" t="s">
        <v>59</v>
      </c>
      <c r="Z179" s="4">
        <v>7.0</v>
      </c>
      <c r="AA179" s="3" t="s">
        <v>60</v>
      </c>
      <c r="AB179" s="7">
        <v>83.0</v>
      </c>
      <c r="AC179" s="7">
        <v>0.0</v>
      </c>
      <c r="AD179" s="7">
        <v>83.0</v>
      </c>
      <c r="AE179" s="7">
        <v>66.0</v>
      </c>
      <c r="AF179" s="7">
        <v>0.0</v>
      </c>
      <c r="AG179" s="7">
        <v>66.0</v>
      </c>
      <c r="AH179" s="7">
        <v>7.0</v>
      </c>
      <c r="AI179" s="7">
        <v>0.0</v>
      </c>
      <c r="AJ179" s="7">
        <v>7.0</v>
      </c>
      <c r="AK179" s="7">
        <v>0.0</v>
      </c>
      <c r="AL179" s="7">
        <v>0.0</v>
      </c>
      <c r="AM179" s="7">
        <v>7.0</v>
      </c>
      <c r="AN179" s="8">
        <v>244.0</v>
      </c>
      <c r="AO179" s="4">
        <v>84.58</v>
      </c>
    </row>
    <row r="180">
      <c r="A180" s="3" t="s">
        <v>41</v>
      </c>
      <c r="B180" s="4">
        <v>40397.0</v>
      </c>
      <c r="C180" s="4" t="s">
        <v>127</v>
      </c>
      <c r="D180" s="4" t="s">
        <v>128</v>
      </c>
      <c r="E180" s="3" t="s">
        <v>44</v>
      </c>
      <c r="F180" s="4">
        <v>34531.0</v>
      </c>
      <c r="G180" s="3" t="s">
        <v>588</v>
      </c>
      <c r="H180" s="3" t="s">
        <v>589</v>
      </c>
      <c r="I180" s="4">
        <v>9.971625277E9</v>
      </c>
      <c r="J180" s="5">
        <v>43934.364849537036</v>
      </c>
      <c r="K180" s="3" t="s">
        <v>47</v>
      </c>
      <c r="L180" s="3" t="s">
        <v>383</v>
      </c>
      <c r="M180" s="3" t="s">
        <v>54</v>
      </c>
      <c r="N180" s="3" t="s">
        <v>50</v>
      </c>
      <c r="O180" s="3" t="s">
        <v>249</v>
      </c>
      <c r="P180" s="6">
        <v>46117.0</v>
      </c>
      <c r="Q180" s="7" t="s">
        <v>52</v>
      </c>
      <c r="R180" s="4">
        <v>1320.0</v>
      </c>
      <c r="S180" s="3" t="s">
        <v>590</v>
      </c>
      <c r="T180" s="3" t="s">
        <v>135</v>
      </c>
      <c r="U180" s="3" t="s">
        <v>136</v>
      </c>
      <c r="V180" s="3" t="s">
        <v>56</v>
      </c>
      <c r="W180" s="3" t="s">
        <v>57</v>
      </c>
      <c r="X180" s="3" t="s">
        <v>58</v>
      </c>
      <c r="Y180" s="3" t="s">
        <v>59</v>
      </c>
      <c r="Z180" s="4">
        <v>7.0</v>
      </c>
      <c r="AA180" s="3" t="s">
        <v>60</v>
      </c>
      <c r="AB180" s="7">
        <v>288.0</v>
      </c>
      <c r="AC180" s="7">
        <v>143.0</v>
      </c>
      <c r="AD180" s="7">
        <v>145.0</v>
      </c>
      <c r="AE180" s="7">
        <v>145.0</v>
      </c>
      <c r="AF180" s="7">
        <v>76.0</v>
      </c>
      <c r="AG180" s="7">
        <v>69.0</v>
      </c>
      <c r="AH180" s="7">
        <v>6.0</v>
      </c>
      <c r="AI180" s="7">
        <v>0.0</v>
      </c>
      <c r="AJ180" s="7">
        <v>6.0</v>
      </c>
      <c r="AK180" s="7">
        <v>0.0</v>
      </c>
      <c r="AL180" s="7">
        <v>0.0</v>
      </c>
      <c r="AM180" s="7">
        <v>6.0</v>
      </c>
      <c r="AN180" s="8">
        <v>223.0</v>
      </c>
      <c r="AO180" s="4">
        <v>84.47</v>
      </c>
    </row>
    <row r="181">
      <c r="A181" s="3" t="s">
        <v>41</v>
      </c>
      <c r="B181" s="4">
        <v>40340.0</v>
      </c>
      <c r="C181" s="9">
        <v>46026.0</v>
      </c>
      <c r="D181" s="4" t="s">
        <v>43</v>
      </c>
      <c r="E181" s="3" t="s">
        <v>44</v>
      </c>
      <c r="F181" s="4">
        <v>73646.0</v>
      </c>
      <c r="G181" s="3" t="s">
        <v>591</v>
      </c>
      <c r="H181" s="3" t="s">
        <v>592</v>
      </c>
      <c r="I181" s="4">
        <v>7.678568219E9</v>
      </c>
      <c r="J181" s="5">
        <v>45473.566041666665</v>
      </c>
      <c r="K181" s="3" t="s">
        <v>201</v>
      </c>
      <c r="L181" s="3" t="s">
        <v>202</v>
      </c>
      <c r="M181" s="3" t="s">
        <v>54</v>
      </c>
      <c r="N181" s="3" t="s">
        <v>50</v>
      </c>
      <c r="O181" s="3" t="s">
        <v>101</v>
      </c>
      <c r="P181" s="6">
        <v>46239.0</v>
      </c>
      <c r="Q181" s="7" t="s">
        <v>43</v>
      </c>
      <c r="R181" s="4">
        <v>1786.0</v>
      </c>
      <c r="S181" s="3" t="s">
        <v>380</v>
      </c>
      <c r="T181" s="3" t="s">
        <v>54</v>
      </c>
      <c r="U181" s="3" t="s">
        <v>79</v>
      </c>
      <c r="V181" s="3" t="s">
        <v>69</v>
      </c>
      <c r="W181" s="3" t="s">
        <v>70</v>
      </c>
      <c r="X181" s="3" t="s">
        <v>58</v>
      </c>
      <c r="Y181" s="3" t="s">
        <v>59</v>
      </c>
      <c r="Z181" s="4">
        <v>8.0</v>
      </c>
      <c r="AA181" s="3" t="s">
        <v>80</v>
      </c>
      <c r="AB181" s="7">
        <v>102.0</v>
      </c>
      <c r="AC181" s="7">
        <v>0.0</v>
      </c>
      <c r="AD181" s="7">
        <v>102.0</v>
      </c>
      <c r="AE181" s="7">
        <v>74.0</v>
      </c>
      <c r="AF181" s="7">
        <v>0.0</v>
      </c>
      <c r="AG181" s="7">
        <v>74.0</v>
      </c>
      <c r="AH181" s="7">
        <v>8.0</v>
      </c>
      <c r="AI181" s="7">
        <v>0.0</v>
      </c>
      <c r="AJ181" s="7">
        <v>8.0</v>
      </c>
      <c r="AK181" s="7">
        <v>0.0</v>
      </c>
      <c r="AL181" s="7">
        <v>0.0</v>
      </c>
      <c r="AM181" s="7">
        <v>8.0</v>
      </c>
      <c r="AN181" s="8">
        <v>340.0</v>
      </c>
      <c r="AO181" s="4">
        <v>98.84</v>
      </c>
    </row>
    <row r="182">
      <c r="A182" s="3" t="s">
        <v>41</v>
      </c>
      <c r="B182" s="4">
        <v>40342.0</v>
      </c>
      <c r="C182" s="9">
        <v>46026.0</v>
      </c>
      <c r="D182" s="4" t="s">
        <v>43</v>
      </c>
      <c r="E182" s="3" t="s">
        <v>44</v>
      </c>
      <c r="F182" s="4">
        <v>73646.0</v>
      </c>
      <c r="G182" s="3" t="s">
        <v>591</v>
      </c>
      <c r="H182" s="3" t="s">
        <v>592</v>
      </c>
      <c r="I182" s="4">
        <v>7.678568219E9</v>
      </c>
      <c r="J182" s="5">
        <v>45473.566041666665</v>
      </c>
      <c r="K182" s="3" t="s">
        <v>201</v>
      </c>
      <c r="L182" s="3" t="s">
        <v>202</v>
      </c>
      <c r="M182" s="3" t="s">
        <v>54</v>
      </c>
      <c r="N182" s="3" t="s">
        <v>50</v>
      </c>
      <c r="O182" s="3" t="s">
        <v>101</v>
      </c>
      <c r="P182" s="6">
        <v>46208.0</v>
      </c>
      <c r="Q182" s="7" t="s">
        <v>77</v>
      </c>
      <c r="R182" s="4">
        <v>1786.0</v>
      </c>
      <c r="S182" s="3" t="s">
        <v>380</v>
      </c>
      <c r="T182" s="3" t="s">
        <v>54</v>
      </c>
      <c r="U182" s="3" t="s">
        <v>79</v>
      </c>
      <c r="V182" s="3" t="s">
        <v>69</v>
      </c>
      <c r="W182" s="3" t="s">
        <v>70</v>
      </c>
      <c r="X182" s="3" t="s">
        <v>58</v>
      </c>
      <c r="Y182" s="3" t="s">
        <v>59</v>
      </c>
      <c r="Z182" s="4">
        <v>7.0</v>
      </c>
      <c r="AA182" s="3" t="s">
        <v>60</v>
      </c>
      <c r="AB182" s="7">
        <v>102.0</v>
      </c>
      <c r="AC182" s="7">
        <v>0.0</v>
      </c>
      <c r="AD182" s="7">
        <v>102.0</v>
      </c>
      <c r="AE182" s="7">
        <v>74.0</v>
      </c>
      <c r="AF182" s="7">
        <v>0.0</v>
      </c>
      <c r="AG182" s="7">
        <v>74.0</v>
      </c>
      <c r="AH182" s="7">
        <v>7.0</v>
      </c>
      <c r="AI182" s="7">
        <v>0.0</v>
      </c>
      <c r="AJ182" s="7">
        <v>7.0</v>
      </c>
      <c r="AK182" s="7">
        <v>0.0</v>
      </c>
      <c r="AL182" s="7">
        <v>0.0</v>
      </c>
      <c r="AM182" s="7">
        <v>7.0</v>
      </c>
      <c r="AN182" s="8">
        <v>70.0</v>
      </c>
      <c r="AO182" s="4">
        <v>100.0</v>
      </c>
    </row>
    <row r="183">
      <c r="A183" s="3" t="s">
        <v>41</v>
      </c>
      <c r="B183" s="4">
        <v>40343.0</v>
      </c>
      <c r="C183" s="9">
        <v>46026.0</v>
      </c>
      <c r="D183" s="4" t="s">
        <v>43</v>
      </c>
      <c r="E183" s="3" t="s">
        <v>44</v>
      </c>
      <c r="F183" s="4">
        <v>73646.0</v>
      </c>
      <c r="G183" s="3" t="s">
        <v>591</v>
      </c>
      <c r="H183" s="3" t="s">
        <v>592</v>
      </c>
      <c r="I183" s="4">
        <v>7.678568219E9</v>
      </c>
      <c r="J183" s="5">
        <v>45473.566041666665</v>
      </c>
      <c r="K183" s="3" t="s">
        <v>201</v>
      </c>
      <c r="L183" s="3" t="s">
        <v>202</v>
      </c>
      <c r="M183" s="3" t="s">
        <v>54</v>
      </c>
      <c r="N183" s="3" t="s">
        <v>50</v>
      </c>
      <c r="O183" s="3" t="s">
        <v>101</v>
      </c>
      <c r="P183" s="6">
        <v>46208.0</v>
      </c>
      <c r="Q183" s="7" t="s">
        <v>106</v>
      </c>
      <c r="R183" s="4">
        <v>1786.0</v>
      </c>
      <c r="S183" s="3" t="s">
        <v>380</v>
      </c>
      <c r="T183" s="3" t="s">
        <v>54</v>
      </c>
      <c r="U183" s="3" t="s">
        <v>79</v>
      </c>
      <c r="V183" s="3" t="s">
        <v>69</v>
      </c>
      <c r="W183" s="3" t="s">
        <v>70</v>
      </c>
      <c r="X183" s="3" t="s">
        <v>58</v>
      </c>
      <c r="Y183" s="3" t="s">
        <v>59</v>
      </c>
      <c r="Z183" s="4">
        <v>8.0</v>
      </c>
      <c r="AA183" s="3" t="s">
        <v>60</v>
      </c>
      <c r="AB183" s="7">
        <v>102.0</v>
      </c>
      <c r="AC183" s="7">
        <v>0.0</v>
      </c>
      <c r="AD183" s="7">
        <v>102.0</v>
      </c>
      <c r="AE183" s="7">
        <v>74.0</v>
      </c>
      <c r="AF183" s="7">
        <v>0.0</v>
      </c>
      <c r="AG183" s="7">
        <v>74.0</v>
      </c>
      <c r="AH183" s="7">
        <v>6.0</v>
      </c>
      <c r="AI183" s="7">
        <v>0.0</v>
      </c>
      <c r="AJ183" s="7">
        <v>6.0</v>
      </c>
      <c r="AK183" s="7">
        <v>0.0</v>
      </c>
      <c r="AL183" s="7">
        <v>0.0</v>
      </c>
      <c r="AM183" s="7">
        <v>6.0</v>
      </c>
      <c r="AN183" s="8">
        <v>258.0</v>
      </c>
      <c r="AO183" s="4">
        <v>100.0</v>
      </c>
    </row>
    <row r="184">
      <c r="A184" s="3" t="s">
        <v>41</v>
      </c>
      <c r="B184" s="4">
        <v>40265.0</v>
      </c>
      <c r="C184" s="9">
        <v>46026.0</v>
      </c>
      <c r="D184" s="4" t="s">
        <v>43</v>
      </c>
      <c r="E184" s="3" t="s">
        <v>44</v>
      </c>
      <c r="F184" s="4">
        <v>88815.0</v>
      </c>
      <c r="G184" s="3" t="s">
        <v>593</v>
      </c>
      <c r="H184" s="3" t="s">
        <v>594</v>
      </c>
      <c r="I184" s="4">
        <v>7.018917103E9</v>
      </c>
      <c r="J184" s="5">
        <v>46076.98305555555</v>
      </c>
      <c r="K184" s="3" t="s">
        <v>47</v>
      </c>
      <c r="L184" s="3" t="s">
        <v>595</v>
      </c>
      <c r="M184" s="3" t="s">
        <v>596</v>
      </c>
      <c r="N184" s="3" t="s">
        <v>50</v>
      </c>
      <c r="O184" s="3" t="s">
        <v>183</v>
      </c>
      <c r="P184" s="6">
        <v>46027.0</v>
      </c>
      <c r="Q184" s="7" t="s">
        <v>66</v>
      </c>
      <c r="R184" s="4">
        <v>1790.0</v>
      </c>
      <c r="S184" s="3" t="s">
        <v>213</v>
      </c>
      <c r="T184" s="3" t="s">
        <v>54</v>
      </c>
      <c r="U184" s="3" t="s">
        <v>68</v>
      </c>
      <c r="V184" s="3" t="s">
        <v>69</v>
      </c>
      <c r="W184" s="3" t="s">
        <v>70</v>
      </c>
      <c r="X184" s="3" t="s">
        <v>58</v>
      </c>
      <c r="Y184" s="3" t="s">
        <v>59</v>
      </c>
      <c r="Z184" s="4">
        <v>6.0</v>
      </c>
      <c r="AA184" s="3" t="s">
        <v>60</v>
      </c>
      <c r="AB184" s="7">
        <v>119.0</v>
      </c>
      <c r="AC184" s="7">
        <v>0.0</v>
      </c>
      <c r="AD184" s="7">
        <v>119.0</v>
      </c>
      <c r="AE184" s="7">
        <v>88.0</v>
      </c>
      <c r="AF184" s="7">
        <v>0.0</v>
      </c>
      <c r="AG184" s="7">
        <v>88.0</v>
      </c>
      <c r="AH184" s="7">
        <v>8.0</v>
      </c>
      <c r="AI184" s="7">
        <v>0.0</v>
      </c>
      <c r="AJ184" s="7">
        <v>8.0</v>
      </c>
      <c r="AK184" s="7">
        <v>0.0</v>
      </c>
      <c r="AL184" s="7">
        <v>0.0</v>
      </c>
      <c r="AM184" s="7">
        <v>8.0</v>
      </c>
      <c r="AN184" s="8">
        <v>336.0</v>
      </c>
      <c r="AO184" s="4">
        <v>100.0</v>
      </c>
    </row>
    <row r="185">
      <c r="A185" s="3" t="s">
        <v>41</v>
      </c>
      <c r="B185" s="4">
        <v>40392.0</v>
      </c>
      <c r="C185" s="4" t="s">
        <v>127</v>
      </c>
      <c r="D185" s="4" t="s">
        <v>128</v>
      </c>
      <c r="E185" s="3" t="s">
        <v>44</v>
      </c>
      <c r="F185" s="4">
        <v>61047.0</v>
      </c>
      <c r="G185" s="3" t="s">
        <v>597</v>
      </c>
      <c r="H185" s="3" t="s">
        <v>598</v>
      </c>
      <c r="I185" s="4">
        <v>8.171787371E9</v>
      </c>
      <c r="J185" s="5">
        <v>44880.062210648146</v>
      </c>
      <c r="K185" s="3" t="s">
        <v>47</v>
      </c>
      <c r="L185" s="3" t="s">
        <v>383</v>
      </c>
      <c r="M185" s="3" t="s">
        <v>54</v>
      </c>
      <c r="N185" s="3" t="s">
        <v>50</v>
      </c>
      <c r="O185" s="3" t="s">
        <v>133</v>
      </c>
      <c r="P185" s="6">
        <v>46147.0</v>
      </c>
      <c r="Q185" s="7" t="s">
        <v>95</v>
      </c>
      <c r="R185" s="4">
        <v>69.0</v>
      </c>
      <c r="S185" s="3" t="s">
        <v>263</v>
      </c>
      <c r="T185" s="3" t="s">
        <v>135</v>
      </c>
      <c r="U185" s="3" t="s">
        <v>136</v>
      </c>
      <c r="V185" s="3" t="s">
        <v>56</v>
      </c>
      <c r="W185" s="3" t="s">
        <v>57</v>
      </c>
      <c r="X185" s="3" t="s">
        <v>58</v>
      </c>
      <c r="Y185" s="3" t="s">
        <v>59</v>
      </c>
      <c r="Z185" s="4">
        <v>7.0</v>
      </c>
      <c r="AA185" s="3" t="s">
        <v>60</v>
      </c>
      <c r="AB185" s="7">
        <v>57.0</v>
      </c>
      <c r="AC185" s="7">
        <v>0.0</v>
      </c>
      <c r="AD185" s="7">
        <v>57.0</v>
      </c>
      <c r="AE185" s="7">
        <v>57.0</v>
      </c>
      <c r="AF185" s="7">
        <v>0.0</v>
      </c>
      <c r="AG185" s="7">
        <v>57.0</v>
      </c>
      <c r="AH185" s="7">
        <v>6.0</v>
      </c>
      <c r="AI185" s="7">
        <v>0.0</v>
      </c>
      <c r="AJ185" s="7">
        <v>6.0</v>
      </c>
      <c r="AK185" s="7">
        <v>0.0</v>
      </c>
      <c r="AL185" s="7">
        <v>0.0</v>
      </c>
      <c r="AM185" s="7">
        <v>6.0</v>
      </c>
      <c r="AN185" s="8">
        <v>119.0</v>
      </c>
      <c r="AO185" s="4">
        <v>82.64</v>
      </c>
    </row>
    <row r="186">
      <c r="A186" s="3" t="s">
        <v>41</v>
      </c>
      <c r="B186" s="4">
        <v>40394.0</v>
      </c>
      <c r="C186" s="4" t="s">
        <v>127</v>
      </c>
      <c r="D186" s="4" t="s">
        <v>128</v>
      </c>
      <c r="E186" s="3" t="s">
        <v>44</v>
      </c>
      <c r="F186" s="4">
        <v>61047.0</v>
      </c>
      <c r="G186" s="3" t="s">
        <v>597</v>
      </c>
      <c r="H186" s="3" t="s">
        <v>598</v>
      </c>
      <c r="I186" s="4">
        <v>8.171787371E9</v>
      </c>
      <c r="J186" s="5">
        <v>44880.062210648146</v>
      </c>
      <c r="K186" s="3" t="s">
        <v>47</v>
      </c>
      <c r="L186" s="3" t="s">
        <v>383</v>
      </c>
      <c r="M186" s="3" t="s">
        <v>54</v>
      </c>
      <c r="N186" s="3" t="s">
        <v>50</v>
      </c>
      <c r="O186" s="3" t="s">
        <v>133</v>
      </c>
      <c r="P186" s="6">
        <v>46147.0</v>
      </c>
      <c r="Q186" s="7" t="s">
        <v>95</v>
      </c>
      <c r="R186" s="4">
        <v>70.0</v>
      </c>
      <c r="S186" s="3" t="s">
        <v>264</v>
      </c>
      <c r="T186" s="3" t="s">
        <v>135</v>
      </c>
      <c r="U186" s="3" t="s">
        <v>136</v>
      </c>
      <c r="V186" s="3" t="s">
        <v>56</v>
      </c>
      <c r="W186" s="3" t="s">
        <v>57</v>
      </c>
      <c r="X186" s="3" t="s">
        <v>58</v>
      </c>
      <c r="Y186" s="3" t="s">
        <v>59</v>
      </c>
      <c r="Z186" s="4">
        <v>7.0</v>
      </c>
      <c r="AA186" s="3" t="s">
        <v>60</v>
      </c>
      <c r="AB186" s="7">
        <v>60.0</v>
      </c>
      <c r="AC186" s="7">
        <v>0.0</v>
      </c>
      <c r="AD186" s="7">
        <v>60.0</v>
      </c>
      <c r="AE186" s="7">
        <v>60.0</v>
      </c>
      <c r="AF186" s="7">
        <v>0.0</v>
      </c>
      <c r="AG186" s="7">
        <v>60.0</v>
      </c>
      <c r="AH186" s="7">
        <v>6.0</v>
      </c>
      <c r="AI186" s="7">
        <v>0.0</v>
      </c>
      <c r="AJ186" s="7">
        <v>6.0</v>
      </c>
      <c r="AK186" s="7">
        <v>0.0</v>
      </c>
      <c r="AL186" s="7">
        <v>0.0</v>
      </c>
      <c r="AM186" s="7">
        <v>6.0</v>
      </c>
      <c r="AN186" s="8">
        <v>136.0</v>
      </c>
      <c r="AO186" s="4">
        <v>83.95</v>
      </c>
    </row>
    <row r="187">
      <c r="A187" s="3" t="s">
        <v>41</v>
      </c>
      <c r="B187" s="4">
        <v>40275.0</v>
      </c>
      <c r="C187" s="9">
        <v>46026.0</v>
      </c>
      <c r="D187" s="4" t="s">
        <v>43</v>
      </c>
      <c r="E187" s="3" t="s">
        <v>44</v>
      </c>
      <c r="F187" s="4">
        <v>73648.0</v>
      </c>
      <c r="G187" s="3" t="s">
        <v>599</v>
      </c>
      <c r="H187" s="3" t="s">
        <v>600</v>
      </c>
      <c r="I187" s="4">
        <v>9.98442396E9</v>
      </c>
      <c r="J187" s="5">
        <v>45473.56638888889</v>
      </c>
      <c r="K187" s="3" t="s">
        <v>201</v>
      </c>
      <c r="L187" s="3" t="s">
        <v>202</v>
      </c>
      <c r="M187" s="3" t="s">
        <v>54</v>
      </c>
      <c r="N187" s="3" t="s">
        <v>50</v>
      </c>
      <c r="O187" s="3" t="s">
        <v>101</v>
      </c>
      <c r="P187" s="6">
        <v>46178.0</v>
      </c>
      <c r="Q187" s="7" t="s">
        <v>125</v>
      </c>
      <c r="R187" s="4">
        <v>1792.0</v>
      </c>
      <c r="S187" s="3" t="s">
        <v>275</v>
      </c>
      <c r="T187" s="3" t="s">
        <v>54</v>
      </c>
      <c r="U187" s="3" t="s">
        <v>79</v>
      </c>
      <c r="V187" s="3" t="s">
        <v>69</v>
      </c>
      <c r="W187" s="3" t="s">
        <v>70</v>
      </c>
      <c r="X187" s="3" t="s">
        <v>58</v>
      </c>
      <c r="Y187" s="3" t="s">
        <v>59</v>
      </c>
      <c r="Z187" s="4">
        <v>8.0</v>
      </c>
      <c r="AA187" s="3" t="s">
        <v>80</v>
      </c>
      <c r="AB187" s="7">
        <v>333.0</v>
      </c>
      <c r="AC187" s="7">
        <v>0.0</v>
      </c>
      <c r="AD187" s="7">
        <v>333.0</v>
      </c>
      <c r="AE187" s="7">
        <v>117.0</v>
      </c>
      <c r="AF187" s="7">
        <v>0.0</v>
      </c>
      <c r="AG187" s="7">
        <v>117.0</v>
      </c>
      <c r="AH187" s="7">
        <v>7.0</v>
      </c>
      <c r="AI187" s="7">
        <v>0.0</v>
      </c>
      <c r="AJ187" s="7">
        <v>7.0</v>
      </c>
      <c r="AK187" s="7">
        <v>0.0</v>
      </c>
      <c r="AL187" s="7">
        <v>0.0</v>
      </c>
      <c r="AM187" s="7">
        <v>7.0</v>
      </c>
      <c r="AN187" s="8">
        <v>142.0</v>
      </c>
      <c r="AO187" s="4">
        <v>22.54</v>
      </c>
    </row>
    <row r="188">
      <c r="A188" s="3" t="s">
        <v>41</v>
      </c>
      <c r="B188" s="4">
        <v>40276.0</v>
      </c>
      <c r="C188" s="9">
        <v>46026.0</v>
      </c>
      <c r="D188" s="4" t="s">
        <v>43</v>
      </c>
      <c r="E188" s="3" t="s">
        <v>44</v>
      </c>
      <c r="F188" s="4">
        <v>73648.0</v>
      </c>
      <c r="G188" s="3" t="s">
        <v>599</v>
      </c>
      <c r="H188" s="3" t="s">
        <v>600</v>
      </c>
      <c r="I188" s="4">
        <v>9.98442396E9</v>
      </c>
      <c r="J188" s="5">
        <v>45473.56638888889</v>
      </c>
      <c r="K188" s="3" t="s">
        <v>201</v>
      </c>
      <c r="L188" s="3" t="s">
        <v>202</v>
      </c>
      <c r="M188" s="3" t="s">
        <v>54</v>
      </c>
      <c r="N188" s="3" t="s">
        <v>50</v>
      </c>
      <c r="O188" s="3" t="s">
        <v>101</v>
      </c>
      <c r="P188" s="6">
        <v>46208.0</v>
      </c>
      <c r="Q188" s="7" t="s">
        <v>77</v>
      </c>
      <c r="R188" s="4">
        <v>1792.0</v>
      </c>
      <c r="S188" s="3" t="s">
        <v>275</v>
      </c>
      <c r="T188" s="3" t="s">
        <v>54</v>
      </c>
      <c r="U188" s="3" t="s">
        <v>79</v>
      </c>
      <c r="V188" s="3" t="s">
        <v>69</v>
      </c>
      <c r="W188" s="3" t="s">
        <v>70</v>
      </c>
      <c r="X188" s="3" t="s">
        <v>58</v>
      </c>
      <c r="Y188" s="3" t="s">
        <v>59</v>
      </c>
      <c r="Z188" s="4">
        <v>7.0</v>
      </c>
      <c r="AA188" s="3" t="s">
        <v>146</v>
      </c>
      <c r="AB188" s="7">
        <v>333.0</v>
      </c>
      <c r="AC188" s="7">
        <v>0.0</v>
      </c>
      <c r="AD188" s="7">
        <v>333.0</v>
      </c>
      <c r="AE188" s="7">
        <v>117.0</v>
      </c>
      <c r="AF188" s="7">
        <v>0.0</v>
      </c>
      <c r="AG188" s="7">
        <v>117.0</v>
      </c>
      <c r="AH188" s="7">
        <v>7.0</v>
      </c>
      <c r="AI188" s="7">
        <v>0.0</v>
      </c>
      <c r="AJ188" s="7">
        <v>7.0</v>
      </c>
      <c r="AK188" s="7">
        <v>0.0</v>
      </c>
      <c r="AL188" s="7">
        <v>0.0</v>
      </c>
      <c r="AM188" s="7">
        <v>7.0</v>
      </c>
      <c r="AN188" s="8">
        <v>112.0</v>
      </c>
      <c r="AO188" s="4">
        <v>100.0</v>
      </c>
    </row>
    <row r="189">
      <c r="A189" s="3" t="s">
        <v>41</v>
      </c>
      <c r="B189" s="4">
        <v>40346.0</v>
      </c>
      <c r="C189" s="9">
        <v>46026.0</v>
      </c>
      <c r="D189" s="4" t="s">
        <v>43</v>
      </c>
      <c r="E189" s="3" t="s">
        <v>44</v>
      </c>
      <c r="F189" s="4">
        <v>73650.0</v>
      </c>
      <c r="G189" s="3" t="s">
        <v>601</v>
      </c>
      <c r="H189" s="3" t="s">
        <v>602</v>
      </c>
      <c r="I189" s="4">
        <v>9.369704052E9</v>
      </c>
      <c r="J189" s="5">
        <v>45473.566724537035</v>
      </c>
      <c r="K189" s="3" t="s">
        <v>201</v>
      </c>
      <c r="L189" s="3" t="s">
        <v>202</v>
      </c>
      <c r="M189" s="3" t="s">
        <v>54</v>
      </c>
      <c r="N189" s="3" t="s">
        <v>50</v>
      </c>
      <c r="O189" s="3" t="s">
        <v>101</v>
      </c>
      <c r="P189" s="6">
        <v>46208.0</v>
      </c>
      <c r="Q189" s="7" t="s">
        <v>77</v>
      </c>
      <c r="R189" s="4">
        <v>1776.0</v>
      </c>
      <c r="S189" s="3" t="s">
        <v>298</v>
      </c>
      <c r="T189" s="3" t="s">
        <v>54</v>
      </c>
      <c r="U189" s="3" t="s">
        <v>79</v>
      </c>
      <c r="V189" s="3" t="s">
        <v>69</v>
      </c>
      <c r="W189" s="3" t="s">
        <v>70</v>
      </c>
      <c r="X189" s="3" t="s">
        <v>58</v>
      </c>
      <c r="Y189" s="3" t="s">
        <v>59</v>
      </c>
      <c r="Z189" s="4">
        <v>8.0</v>
      </c>
      <c r="AA189" s="3" t="s">
        <v>80</v>
      </c>
      <c r="AB189" s="7">
        <v>122.0</v>
      </c>
      <c r="AC189" s="7">
        <v>0.0</v>
      </c>
      <c r="AD189" s="7">
        <v>122.0</v>
      </c>
      <c r="AE189" s="7">
        <v>97.0</v>
      </c>
      <c r="AF189" s="7">
        <v>0.0</v>
      </c>
      <c r="AG189" s="7">
        <v>97.0</v>
      </c>
      <c r="AH189" s="7">
        <v>7.0</v>
      </c>
      <c r="AI189" s="7">
        <v>0.0</v>
      </c>
      <c r="AJ189" s="7">
        <v>7.0</v>
      </c>
      <c r="AK189" s="7">
        <v>0.0</v>
      </c>
      <c r="AL189" s="7">
        <v>0.0</v>
      </c>
      <c r="AM189" s="7">
        <v>7.0</v>
      </c>
      <c r="AN189" s="8">
        <v>264.0</v>
      </c>
      <c r="AO189" s="4">
        <v>99.25</v>
      </c>
    </row>
    <row r="190">
      <c r="A190" s="3" t="s">
        <v>41</v>
      </c>
      <c r="B190" s="4">
        <v>40347.0</v>
      </c>
      <c r="C190" s="9">
        <v>46026.0</v>
      </c>
      <c r="D190" s="4" t="s">
        <v>43</v>
      </c>
      <c r="E190" s="3" t="s">
        <v>44</v>
      </c>
      <c r="F190" s="4">
        <v>73650.0</v>
      </c>
      <c r="G190" s="3" t="s">
        <v>601</v>
      </c>
      <c r="H190" s="3" t="s">
        <v>602</v>
      </c>
      <c r="I190" s="4">
        <v>9.369704052E9</v>
      </c>
      <c r="J190" s="5">
        <v>45473.566724537035</v>
      </c>
      <c r="K190" s="3" t="s">
        <v>201</v>
      </c>
      <c r="L190" s="3" t="s">
        <v>202</v>
      </c>
      <c r="M190" s="3" t="s">
        <v>54</v>
      </c>
      <c r="N190" s="3" t="s">
        <v>50</v>
      </c>
      <c r="O190" s="3" t="s">
        <v>101</v>
      </c>
      <c r="P190" s="6">
        <v>46208.0</v>
      </c>
      <c r="Q190" s="7" t="s">
        <v>77</v>
      </c>
      <c r="R190" s="4">
        <v>1776.0</v>
      </c>
      <c r="S190" s="3" t="s">
        <v>298</v>
      </c>
      <c r="T190" s="3" t="s">
        <v>54</v>
      </c>
      <c r="U190" s="3" t="s">
        <v>79</v>
      </c>
      <c r="V190" s="3" t="s">
        <v>69</v>
      </c>
      <c r="W190" s="3" t="s">
        <v>70</v>
      </c>
      <c r="X190" s="3" t="s">
        <v>58</v>
      </c>
      <c r="Y190" s="3" t="s">
        <v>59</v>
      </c>
      <c r="Z190" s="4">
        <v>6.0</v>
      </c>
      <c r="AA190" s="3" t="s">
        <v>60</v>
      </c>
      <c r="AB190" s="7">
        <v>122.0</v>
      </c>
      <c r="AC190" s="7">
        <v>0.0</v>
      </c>
      <c r="AD190" s="7">
        <v>122.0</v>
      </c>
      <c r="AE190" s="7">
        <v>97.0</v>
      </c>
      <c r="AF190" s="7">
        <v>0.0</v>
      </c>
      <c r="AG190" s="7">
        <v>97.0</v>
      </c>
      <c r="AH190" s="7">
        <v>7.0</v>
      </c>
      <c r="AI190" s="7">
        <v>0.0</v>
      </c>
      <c r="AJ190" s="7">
        <v>7.0</v>
      </c>
      <c r="AK190" s="7">
        <v>0.0</v>
      </c>
      <c r="AL190" s="7">
        <v>0.0</v>
      </c>
      <c r="AM190" s="7">
        <v>7.0</v>
      </c>
      <c r="AN190" s="8">
        <v>198.0</v>
      </c>
      <c r="AO190" s="4">
        <v>97.54</v>
      </c>
    </row>
    <row r="191">
      <c r="A191" s="3" t="s">
        <v>41</v>
      </c>
      <c r="B191" s="4">
        <v>40348.0</v>
      </c>
      <c r="C191" s="9">
        <v>46026.0</v>
      </c>
      <c r="D191" s="4" t="s">
        <v>43</v>
      </c>
      <c r="E191" s="3" t="s">
        <v>44</v>
      </c>
      <c r="F191" s="4">
        <v>73650.0</v>
      </c>
      <c r="G191" s="3" t="s">
        <v>601</v>
      </c>
      <c r="H191" s="3" t="s">
        <v>602</v>
      </c>
      <c r="I191" s="4">
        <v>9.369704052E9</v>
      </c>
      <c r="J191" s="5">
        <v>45473.566724537035</v>
      </c>
      <c r="K191" s="3" t="s">
        <v>201</v>
      </c>
      <c r="L191" s="3" t="s">
        <v>202</v>
      </c>
      <c r="M191" s="3" t="s">
        <v>54</v>
      </c>
      <c r="N191" s="3" t="s">
        <v>50</v>
      </c>
      <c r="O191" s="3" t="s">
        <v>101</v>
      </c>
      <c r="P191" s="6">
        <v>46239.0</v>
      </c>
      <c r="Q191" s="7" t="s">
        <v>66</v>
      </c>
      <c r="R191" s="4">
        <v>1776.0</v>
      </c>
      <c r="S191" s="3" t="s">
        <v>298</v>
      </c>
      <c r="T191" s="3" t="s">
        <v>54</v>
      </c>
      <c r="U191" s="3" t="s">
        <v>79</v>
      </c>
      <c r="V191" s="3" t="s">
        <v>69</v>
      </c>
      <c r="W191" s="3" t="s">
        <v>70</v>
      </c>
      <c r="X191" s="3" t="s">
        <v>58</v>
      </c>
      <c r="Y191" s="3" t="s">
        <v>59</v>
      </c>
      <c r="Z191" s="4">
        <v>7.0</v>
      </c>
      <c r="AA191" s="3" t="s">
        <v>60</v>
      </c>
      <c r="AB191" s="7">
        <v>122.0</v>
      </c>
      <c r="AC191" s="7">
        <v>0.0</v>
      </c>
      <c r="AD191" s="7">
        <v>122.0</v>
      </c>
      <c r="AE191" s="7">
        <v>97.0</v>
      </c>
      <c r="AF191" s="7">
        <v>0.0</v>
      </c>
      <c r="AG191" s="7">
        <v>97.0</v>
      </c>
      <c r="AH191" s="7">
        <v>6.0</v>
      </c>
      <c r="AI191" s="7">
        <v>0.0</v>
      </c>
      <c r="AJ191" s="7">
        <v>6.0</v>
      </c>
      <c r="AK191" s="7">
        <v>0.0</v>
      </c>
      <c r="AL191" s="7">
        <v>0.0</v>
      </c>
      <c r="AM191" s="7">
        <v>6.0</v>
      </c>
      <c r="AN191" s="8">
        <v>178.0</v>
      </c>
      <c r="AO191" s="4">
        <v>98.89</v>
      </c>
    </row>
    <row r="192">
      <c r="A192" s="3" t="s">
        <v>41</v>
      </c>
      <c r="B192" s="4">
        <v>40349.0</v>
      </c>
      <c r="C192" s="9">
        <v>46026.0</v>
      </c>
      <c r="D192" s="4" t="s">
        <v>43</v>
      </c>
      <c r="E192" s="3" t="s">
        <v>44</v>
      </c>
      <c r="F192" s="4">
        <v>73650.0</v>
      </c>
      <c r="G192" s="3" t="s">
        <v>601</v>
      </c>
      <c r="H192" s="3" t="s">
        <v>602</v>
      </c>
      <c r="I192" s="4">
        <v>9.369704052E9</v>
      </c>
      <c r="J192" s="5">
        <v>45473.566724537035</v>
      </c>
      <c r="K192" s="3" t="s">
        <v>201</v>
      </c>
      <c r="L192" s="3" t="s">
        <v>202</v>
      </c>
      <c r="M192" s="3" t="s">
        <v>54</v>
      </c>
      <c r="N192" s="3" t="s">
        <v>50</v>
      </c>
      <c r="O192" s="3" t="s">
        <v>101</v>
      </c>
      <c r="P192" s="6">
        <v>46239.0</v>
      </c>
      <c r="Q192" s="7" t="s">
        <v>66</v>
      </c>
      <c r="R192" s="4">
        <v>1776.0</v>
      </c>
      <c r="S192" s="3" t="s">
        <v>298</v>
      </c>
      <c r="T192" s="3" t="s">
        <v>54</v>
      </c>
      <c r="U192" s="3" t="s">
        <v>79</v>
      </c>
      <c r="V192" s="3" t="s">
        <v>69</v>
      </c>
      <c r="W192" s="3" t="s">
        <v>70</v>
      </c>
      <c r="X192" s="3" t="s">
        <v>58</v>
      </c>
      <c r="Y192" s="3" t="s">
        <v>59</v>
      </c>
      <c r="Z192" s="4">
        <v>8.0</v>
      </c>
      <c r="AA192" s="3" t="s">
        <v>60</v>
      </c>
      <c r="AB192" s="7">
        <v>122.0</v>
      </c>
      <c r="AC192" s="7">
        <v>0.0</v>
      </c>
      <c r="AD192" s="7">
        <v>122.0</v>
      </c>
      <c r="AE192" s="7">
        <v>97.0</v>
      </c>
      <c r="AF192" s="7">
        <v>0.0</v>
      </c>
      <c r="AG192" s="7">
        <v>97.0</v>
      </c>
      <c r="AH192" s="7">
        <v>6.0</v>
      </c>
      <c r="AI192" s="7">
        <v>0.0</v>
      </c>
      <c r="AJ192" s="7">
        <v>6.0</v>
      </c>
      <c r="AK192" s="7">
        <v>0.0</v>
      </c>
      <c r="AL192" s="7">
        <v>0.0</v>
      </c>
      <c r="AM192" s="7">
        <v>6.0</v>
      </c>
      <c r="AN192" s="8">
        <v>228.0</v>
      </c>
      <c r="AO192" s="4">
        <v>100.0</v>
      </c>
    </row>
    <row r="193">
      <c r="A193" s="3" t="s">
        <v>41</v>
      </c>
      <c r="B193" s="4">
        <v>40336.0</v>
      </c>
      <c r="C193" s="9">
        <v>46026.0</v>
      </c>
      <c r="D193" s="4" t="s">
        <v>43</v>
      </c>
      <c r="E193" s="3" t="s">
        <v>44</v>
      </c>
      <c r="F193" s="4">
        <v>89756.0</v>
      </c>
      <c r="G193" s="3" t="s">
        <v>603</v>
      </c>
      <c r="H193" s="3" t="s">
        <v>604</v>
      </c>
      <c r="I193" s="4">
        <v>9.619413489E9</v>
      </c>
      <c r="J193" s="5">
        <v>46134.53359953704</v>
      </c>
      <c r="K193" s="3" t="s">
        <v>124</v>
      </c>
      <c r="L193" s="3" t="s">
        <v>84</v>
      </c>
      <c r="M193" s="3" t="s">
        <v>64</v>
      </c>
      <c r="N193" s="3" t="s">
        <v>50</v>
      </c>
      <c r="O193" s="3" t="s">
        <v>51</v>
      </c>
      <c r="P193" s="6">
        <v>46027.0</v>
      </c>
      <c r="Q193" s="7" t="s">
        <v>66</v>
      </c>
      <c r="R193" s="4">
        <v>1788.0</v>
      </c>
      <c r="S193" s="3" t="s">
        <v>230</v>
      </c>
      <c r="T193" s="3" t="s">
        <v>54</v>
      </c>
      <c r="U193" s="3" t="s">
        <v>79</v>
      </c>
      <c r="V193" s="3" t="s">
        <v>69</v>
      </c>
      <c r="W193" s="3" t="s">
        <v>70</v>
      </c>
      <c r="X193" s="3" t="s">
        <v>58</v>
      </c>
      <c r="Y193" s="3" t="s">
        <v>59</v>
      </c>
      <c r="Z193" s="4">
        <v>7.0</v>
      </c>
      <c r="AA193" s="3" t="s">
        <v>60</v>
      </c>
      <c r="AB193" s="7">
        <v>65.0</v>
      </c>
      <c r="AC193" s="7">
        <v>0.0</v>
      </c>
      <c r="AD193" s="7">
        <v>65.0</v>
      </c>
      <c r="AE193" s="7">
        <v>41.0</v>
      </c>
      <c r="AF193" s="7">
        <v>0.0</v>
      </c>
      <c r="AG193" s="7">
        <v>41.0</v>
      </c>
      <c r="AH193" s="7">
        <v>8.0</v>
      </c>
      <c r="AI193" s="7">
        <v>0.0</v>
      </c>
      <c r="AJ193" s="7">
        <v>8.0</v>
      </c>
      <c r="AK193" s="7">
        <v>0.0</v>
      </c>
      <c r="AL193" s="7">
        <v>0.0</v>
      </c>
      <c r="AM193" s="7">
        <v>8.0</v>
      </c>
      <c r="AN193" s="8">
        <v>48.0</v>
      </c>
      <c r="AO193" s="4">
        <v>100.0</v>
      </c>
    </row>
    <row r="194">
      <c r="A194" s="3" t="s">
        <v>41</v>
      </c>
      <c r="B194" s="4">
        <v>40270.0</v>
      </c>
      <c r="C194" s="9">
        <v>46026.0</v>
      </c>
      <c r="D194" s="4" t="s">
        <v>43</v>
      </c>
      <c r="E194" s="3" t="s">
        <v>44</v>
      </c>
      <c r="F194" s="4">
        <v>88858.0</v>
      </c>
      <c r="G194" s="3" t="s">
        <v>605</v>
      </c>
      <c r="H194" s="3" t="s">
        <v>606</v>
      </c>
      <c r="I194" s="4">
        <v>9.634402628E9</v>
      </c>
      <c r="J194" s="5">
        <v>46079.543541666666</v>
      </c>
      <c r="K194" s="3" t="s">
        <v>47</v>
      </c>
      <c r="L194" s="3" t="s">
        <v>607</v>
      </c>
      <c r="M194" s="3" t="s">
        <v>54</v>
      </c>
      <c r="N194" s="3" t="s">
        <v>50</v>
      </c>
      <c r="O194" s="3" t="s">
        <v>183</v>
      </c>
      <c r="P194" s="6">
        <v>46147.0</v>
      </c>
      <c r="Q194" s="7" t="s">
        <v>77</v>
      </c>
      <c r="R194" s="4">
        <v>1780.0</v>
      </c>
      <c r="S194" s="3" t="s">
        <v>222</v>
      </c>
      <c r="T194" s="3" t="s">
        <v>54</v>
      </c>
      <c r="U194" s="3" t="s">
        <v>68</v>
      </c>
      <c r="V194" s="3" t="s">
        <v>69</v>
      </c>
      <c r="W194" s="3" t="s">
        <v>70</v>
      </c>
      <c r="X194" s="3" t="s">
        <v>58</v>
      </c>
      <c r="Y194" s="3" t="s">
        <v>59</v>
      </c>
      <c r="Z194" s="4">
        <v>8.0</v>
      </c>
      <c r="AA194" s="3" t="s">
        <v>80</v>
      </c>
      <c r="AB194" s="7">
        <v>110.0</v>
      </c>
      <c r="AC194" s="7">
        <v>0.0</v>
      </c>
      <c r="AD194" s="7">
        <v>110.0</v>
      </c>
      <c r="AE194" s="7">
        <v>65.0</v>
      </c>
      <c r="AF194" s="7">
        <v>0.0</v>
      </c>
      <c r="AG194" s="7">
        <v>65.0</v>
      </c>
      <c r="AH194" s="7">
        <v>8.0</v>
      </c>
      <c r="AI194" s="7">
        <v>0.0</v>
      </c>
      <c r="AJ194" s="7">
        <v>8.0</v>
      </c>
      <c r="AK194" s="7">
        <v>0.0</v>
      </c>
      <c r="AL194" s="7">
        <v>0.0</v>
      </c>
      <c r="AM194" s="7">
        <v>8.0</v>
      </c>
      <c r="AN194" s="8">
        <v>247.0</v>
      </c>
      <c r="AO194" s="4">
        <v>90.81</v>
      </c>
    </row>
    <row r="195">
      <c r="A195" s="3" t="s">
        <v>41</v>
      </c>
      <c r="B195" s="4">
        <v>40291.0</v>
      </c>
      <c r="C195" s="9">
        <v>46026.0</v>
      </c>
      <c r="D195" s="4" t="s">
        <v>43</v>
      </c>
      <c r="E195" s="3" t="s">
        <v>44</v>
      </c>
      <c r="F195" s="4">
        <v>89826.0</v>
      </c>
      <c r="G195" s="3" t="s">
        <v>608</v>
      </c>
      <c r="H195" s="3" t="s">
        <v>609</v>
      </c>
      <c r="I195" s="11">
        <v>1.21E9</v>
      </c>
      <c r="J195" s="5">
        <v>46135.14939814815</v>
      </c>
      <c r="K195" s="3" t="s">
        <v>47</v>
      </c>
      <c r="L195" s="3" t="s">
        <v>610</v>
      </c>
      <c r="M195" s="3" t="s">
        <v>611</v>
      </c>
      <c r="N195" s="3" t="s">
        <v>612</v>
      </c>
      <c r="O195" s="3" t="s">
        <v>65</v>
      </c>
      <c r="P195" s="6">
        <v>46027.0</v>
      </c>
      <c r="Q195" s="7" t="s">
        <v>66</v>
      </c>
      <c r="R195" s="4">
        <v>1789.0</v>
      </c>
      <c r="S195" s="3" t="s">
        <v>142</v>
      </c>
      <c r="T195" s="3" t="s">
        <v>54</v>
      </c>
      <c r="U195" s="3" t="s">
        <v>79</v>
      </c>
      <c r="V195" s="3" t="s">
        <v>69</v>
      </c>
      <c r="W195" s="3" t="s">
        <v>70</v>
      </c>
      <c r="X195" s="3" t="s">
        <v>58</v>
      </c>
      <c r="Y195" s="3" t="s">
        <v>59</v>
      </c>
      <c r="Z195" s="4">
        <v>8.0</v>
      </c>
      <c r="AA195" s="3" t="s">
        <v>60</v>
      </c>
      <c r="AB195" s="7">
        <v>91.0</v>
      </c>
      <c r="AC195" s="7">
        <v>0.0</v>
      </c>
      <c r="AD195" s="7">
        <v>91.0</v>
      </c>
      <c r="AE195" s="7">
        <v>58.0</v>
      </c>
      <c r="AF195" s="7">
        <v>0.0</v>
      </c>
      <c r="AG195" s="7">
        <v>58.0</v>
      </c>
      <c r="AH195" s="7">
        <v>8.0</v>
      </c>
      <c r="AI195" s="7">
        <v>0.0</v>
      </c>
      <c r="AJ195" s="7">
        <v>8.0</v>
      </c>
      <c r="AK195" s="7">
        <v>0.0</v>
      </c>
      <c r="AL195" s="7">
        <v>0.0</v>
      </c>
      <c r="AM195" s="7">
        <v>8.0</v>
      </c>
      <c r="AN195" s="8">
        <v>283.0</v>
      </c>
      <c r="AO195" s="4">
        <v>93.09</v>
      </c>
    </row>
    <row r="196">
      <c r="A196" s="3" t="s">
        <v>41</v>
      </c>
      <c r="B196" s="4">
        <v>40398.0</v>
      </c>
      <c r="C196" s="4" t="s">
        <v>127</v>
      </c>
      <c r="D196" s="4" t="s">
        <v>128</v>
      </c>
      <c r="E196" s="3" t="s">
        <v>44</v>
      </c>
      <c r="F196" s="4">
        <v>58158.0</v>
      </c>
      <c r="G196" s="3" t="s">
        <v>613</v>
      </c>
      <c r="H196" s="3" t="s">
        <v>614</v>
      </c>
      <c r="I196" s="4">
        <v>7.989822809E9</v>
      </c>
      <c r="J196" s="5">
        <v>44736.18599537037</v>
      </c>
      <c r="K196" s="3" t="s">
        <v>47</v>
      </c>
      <c r="L196" s="3" t="s">
        <v>615</v>
      </c>
      <c r="M196" s="3" t="s">
        <v>100</v>
      </c>
      <c r="N196" s="3" t="s">
        <v>50</v>
      </c>
      <c r="O196" s="3" t="s">
        <v>51</v>
      </c>
      <c r="P196" s="6">
        <v>46178.0</v>
      </c>
      <c r="Q196" s="7" t="s">
        <v>52</v>
      </c>
      <c r="R196" s="4">
        <v>1320.0</v>
      </c>
      <c r="S196" s="3" t="s">
        <v>590</v>
      </c>
      <c r="T196" s="3" t="s">
        <v>135</v>
      </c>
      <c r="U196" s="3" t="s">
        <v>136</v>
      </c>
      <c r="V196" s="3" t="s">
        <v>56</v>
      </c>
      <c r="W196" s="3" t="s">
        <v>57</v>
      </c>
      <c r="X196" s="3" t="s">
        <v>58</v>
      </c>
      <c r="Y196" s="3" t="s">
        <v>59</v>
      </c>
      <c r="Z196" s="4">
        <v>8.0</v>
      </c>
      <c r="AA196" s="3" t="s">
        <v>60</v>
      </c>
      <c r="AB196" s="7">
        <v>288.0</v>
      </c>
      <c r="AC196" s="7">
        <v>143.0</v>
      </c>
      <c r="AD196" s="7">
        <v>145.0</v>
      </c>
      <c r="AE196" s="7">
        <v>145.0</v>
      </c>
      <c r="AF196" s="7">
        <v>76.0</v>
      </c>
      <c r="AG196" s="7">
        <v>69.0</v>
      </c>
      <c r="AH196" s="7">
        <v>6.0</v>
      </c>
      <c r="AI196" s="7">
        <v>0.0</v>
      </c>
      <c r="AJ196" s="7">
        <v>5.0</v>
      </c>
      <c r="AK196" s="7">
        <v>1.0</v>
      </c>
      <c r="AL196" s="7">
        <v>0.0</v>
      </c>
      <c r="AM196" s="7">
        <v>6.0</v>
      </c>
      <c r="AN196" s="8">
        <v>359.0</v>
      </c>
      <c r="AO196" s="4">
        <v>89.3</v>
      </c>
    </row>
    <row r="197">
      <c r="A197" s="3" t="s">
        <v>41</v>
      </c>
      <c r="B197" s="4">
        <v>40245.0</v>
      </c>
      <c r="C197" s="9">
        <v>46026.0</v>
      </c>
      <c r="D197" s="4" t="s">
        <v>43</v>
      </c>
      <c r="E197" s="3" t="s">
        <v>244</v>
      </c>
      <c r="F197" s="4">
        <v>88623.0</v>
      </c>
      <c r="G197" s="3" t="s">
        <v>616</v>
      </c>
      <c r="H197" s="3" t="s">
        <v>617</v>
      </c>
      <c r="I197" s="4">
        <v>7.719554831E9</v>
      </c>
      <c r="J197" s="5">
        <v>46066.48982638889</v>
      </c>
      <c r="K197" s="3" t="s">
        <v>453</v>
      </c>
      <c r="L197" s="3" t="s">
        <v>161</v>
      </c>
      <c r="M197" s="3" t="s">
        <v>162</v>
      </c>
      <c r="N197" s="3" t="s">
        <v>50</v>
      </c>
      <c r="O197" s="3" t="s">
        <v>65</v>
      </c>
      <c r="P197" s="6">
        <v>46027.0</v>
      </c>
      <c r="Q197" s="7" t="s">
        <v>66</v>
      </c>
      <c r="R197" s="4">
        <v>1791.0</v>
      </c>
      <c r="S197" s="3" t="s">
        <v>67</v>
      </c>
      <c r="T197" s="3" t="s">
        <v>54</v>
      </c>
      <c r="U197" s="3" t="s">
        <v>68</v>
      </c>
      <c r="V197" s="3" t="s">
        <v>69</v>
      </c>
      <c r="W197" s="3" t="s">
        <v>70</v>
      </c>
      <c r="X197" s="3" t="s">
        <v>58</v>
      </c>
      <c r="Y197" s="3" t="s">
        <v>59</v>
      </c>
      <c r="Z197" s="4">
        <v>8.0</v>
      </c>
      <c r="AA197" s="3" t="s">
        <v>60</v>
      </c>
      <c r="AB197" s="7">
        <v>127.0</v>
      </c>
      <c r="AC197" s="7">
        <v>0.0</v>
      </c>
      <c r="AD197" s="7">
        <v>127.0</v>
      </c>
      <c r="AE197" s="7">
        <v>92.0</v>
      </c>
      <c r="AF197" s="7">
        <v>0.0</v>
      </c>
      <c r="AG197" s="7">
        <v>92.0</v>
      </c>
      <c r="AH197" s="7">
        <v>8.0</v>
      </c>
      <c r="AI197" s="7">
        <v>0.0</v>
      </c>
      <c r="AJ197" s="7">
        <v>8.0</v>
      </c>
      <c r="AK197" s="7">
        <v>0.0</v>
      </c>
      <c r="AL197" s="7">
        <v>0.0</v>
      </c>
      <c r="AM197" s="7">
        <v>8.0</v>
      </c>
      <c r="AN197" s="8">
        <v>294.0</v>
      </c>
      <c r="AO197" s="4">
        <v>100.0</v>
      </c>
    </row>
    <row r="198">
      <c r="A198" s="3" t="s">
        <v>41</v>
      </c>
      <c r="B198" s="4">
        <v>40308.0</v>
      </c>
      <c r="C198" s="9">
        <v>46299.0</v>
      </c>
      <c r="D198" s="4" t="s">
        <v>91</v>
      </c>
      <c r="E198" s="3" t="s">
        <v>44</v>
      </c>
      <c r="F198" s="4">
        <v>89572.0</v>
      </c>
      <c r="G198" s="3" t="s">
        <v>618</v>
      </c>
      <c r="H198" s="3" t="s">
        <v>619</v>
      </c>
      <c r="I198" s="4">
        <v>9.538167967E9</v>
      </c>
      <c r="J198" s="5">
        <v>46127.47002314815</v>
      </c>
      <c r="K198" s="3" t="s">
        <v>47</v>
      </c>
      <c r="L198" s="3" t="s">
        <v>161</v>
      </c>
      <c r="M198" s="3" t="s">
        <v>162</v>
      </c>
      <c r="N198" s="3" t="s">
        <v>50</v>
      </c>
      <c r="O198" s="3" t="s">
        <v>76</v>
      </c>
      <c r="P198" s="6">
        <v>46117.0</v>
      </c>
      <c r="Q198" s="7" t="s">
        <v>245</v>
      </c>
      <c r="R198" s="4">
        <v>1986.0</v>
      </c>
      <c r="S198" s="3" t="s">
        <v>119</v>
      </c>
      <c r="T198" s="3" t="s">
        <v>54</v>
      </c>
      <c r="U198" s="3" t="s">
        <v>79</v>
      </c>
      <c r="V198" s="3" t="s">
        <v>120</v>
      </c>
      <c r="W198" s="3" t="s">
        <v>57</v>
      </c>
      <c r="X198" s="3" t="s">
        <v>58</v>
      </c>
      <c r="Y198" s="3" t="s">
        <v>59</v>
      </c>
      <c r="Z198" s="4">
        <v>7.0</v>
      </c>
      <c r="AA198" s="3" t="s">
        <v>234</v>
      </c>
      <c r="AB198" s="7">
        <v>79.0</v>
      </c>
      <c r="AC198" s="7">
        <v>31.0</v>
      </c>
      <c r="AD198" s="7">
        <v>48.0</v>
      </c>
      <c r="AE198" s="7">
        <v>79.0</v>
      </c>
      <c r="AF198" s="7">
        <v>31.0</v>
      </c>
      <c r="AG198" s="7">
        <v>48.0</v>
      </c>
      <c r="AH198" s="7">
        <v>5.0</v>
      </c>
      <c r="AI198" s="7">
        <v>0.0</v>
      </c>
      <c r="AJ198" s="7">
        <v>5.0</v>
      </c>
      <c r="AK198" s="7">
        <v>0.0</v>
      </c>
      <c r="AL198" s="7">
        <v>0.0</v>
      </c>
      <c r="AM198" s="7">
        <v>5.0</v>
      </c>
      <c r="AN198" s="8">
        <v>182.0</v>
      </c>
      <c r="AO198" s="4">
        <v>80.89</v>
      </c>
    </row>
    <row r="199">
      <c r="A199" s="3" t="s">
        <v>41</v>
      </c>
      <c r="B199" s="4">
        <v>40239.0</v>
      </c>
      <c r="C199" s="9">
        <v>46026.0</v>
      </c>
      <c r="D199" s="4" t="s">
        <v>43</v>
      </c>
      <c r="E199" s="3" t="s">
        <v>44</v>
      </c>
      <c r="F199" s="4">
        <v>88787.0</v>
      </c>
      <c r="G199" s="3" t="s">
        <v>620</v>
      </c>
      <c r="H199" s="3" t="s">
        <v>621</v>
      </c>
      <c r="I199" s="4">
        <v>9.82265297E9</v>
      </c>
      <c r="J199" s="5">
        <v>46075.47232638889</v>
      </c>
      <c r="K199" s="3" t="s">
        <v>47</v>
      </c>
      <c r="L199" s="3" t="s">
        <v>94</v>
      </c>
      <c r="M199" s="3" t="s">
        <v>64</v>
      </c>
      <c r="N199" s="3" t="s">
        <v>50</v>
      </c>
      <c r="O199" s="3" t="s">
        <v>133</v>
      </c>
      <c r="P199" s="6">
        <v>46027.0</v>
      </c>
      <c r="Q199" s="7" t="s">
        <v>66</v>
      </c>
      <c r="R199" s="4">
        <v>1774.0</v>
      </c>
      <c r="S199" s="3" t="s">
        <v>102</v>
      </c>
      <c r="T199" s="3" t="s">
        <v>54</v>
      </c>
      <c r="U199" s="3" t="s">
        <v>79</v>
      </c>
      <c r="V199" s="3" t="s">
        <v>69</v>
      </c>
      <c r="W199" s="3" t="s">
        <v>70</v>
      </c>
      <c r="X199" s="3" t="s">
        <v>58</v>
      </c>
      <c r="Y199" s="3" t="s">
        <v>59</v>
      </c>
      <c r="Z199" s="4">
        <v>8.0</v>
      </c>
      <c r="AA199" s="3" t="s">
        <v>60</v>
      </c>
      <c r="AB199" s="7">
        <v>104.0</v>
      </c>
      <c r="AC199" s="7">
        <v>0.0</v>
      </c>
      <c r="AD199" s="7">
        <v>104.0</v>
      </c>
      <c r="AE199" s="7">
        <v>65.0</v>
      </c>
      <c r="AF199" s="7">
        <v>0.0</v>
      </c>
      <c r="AG199" s="7">
        <v>65.0</v>
      </c>
      <c r="AH199" s="7">
        <v>8.0</v>
      </c>
      <c r="AI199" s="7">
        <v>0.0</v>
      </c>
      <c r="AJ199" s="7">
        <v>8.0</v>
      </c>
      <c r="AK199" s="7">
        <v>0.0</v>
      </c>
      <c r="AL199" s="7">
        <v>0.0</v>
      </c>
      <c r="AM199" s="7">
        <v>8.0</v>
      </c>
      <c r="AN199" s="8">
        <v>228.0</v>
      </c>
      <c r="AO199" s="4">
        <v>91.94</v>
      </c>
    </row>
    <row r="200">
      <c r="A200" s="3" t="s">
        <v>41</v>
      </c>
      <c r="B200" s="4">
        <v>40356.0</v>
      </c>
      <c r="C200" s="4" t="s">
        <v>42</v>
      </c>
      <c r="D200" s="4" t="s">
        <v>43</v>
      </c>
      <c r="E200" s="3" t="s">
        <v>44</v>
      </c>
      <c r="F200" s="4">
        <v>81190.0</v>
      </c>
      <c r="G200" s="3" t="s">
        <v>622</v>
      </c>
      <c r="H200" s="3" t="s">
        <v>623</v>
      </c>
      <c r="I200" s="4">
        <v>9.158920696E9</v>
      </c>
      <c r="J200" s="5">
        <v>45779.88148148148</v>
      </c>
      <c r="K200" s="3" t="s">
        <v>47</v>
      </c>
      <c r="L200" s="3" t="s">
        <v>161</v>
      </c>
      <c r="M200" s="3" t="s">
        <v>162</v>
      </c>
      <c r="N200" s="3" t="s">
        <v>50</v>
      </c>
      <c r="O200" s="3" t="s">
        <v>249</v>
      </c>
      <c r="P200" s="6">
        <v>46117.0</v>
      </c>
      <c r="Q200" s="7" t="s">
        <v>95</v>
      </c>
      <c r="R200" s="4">
        <v>1952.0</v>
      </c>
      <c r="S200" s="3" t="s">
        <v>325</v>
      </c>
      <c r="T200" s="3" t="s">
        <v>54</v>
      </c>
      <c r="U200" s="3" t="s">
        <v>55</v>
      </c>
      <c r="V200" s="3" t="s">
        <v>56</v>
      </c>
      <c r="W200" s="3" t="s">
        <v>57</v>
      </c>
      <c r="X200" s="3" t="s">
        <v>58</v>
      </c>
      <c r="Y200" s="3" t="s">
        <v>59</v>
      </c>
      <c r="Z200" s="4">
        <v>7.0</v>
      </c>
      <c r="AA200" s="3" t="s">
        <v>60</v>
      </c>
      <c r="AB200" s="7">
        <v>57.0</v>
      </c>
      <c r="AC200" s="7">
        <v>0.0</v>
      </c>
      <c r="AD200" s="7">
        <v>57.0</v>
      </c>
      <c r="AE200" s="7">
        <v>55.0</v>
      </c>
      <c r="AF200" s="7">
        <v>0.0</v>
      </c>
      <c r="AG200" s="7">
        <v>55.0</v>
      </c>
      <c r="AH200" s="7">
        <v>6.0</v>
      </c>
      <c r="AI200" s="7">
        <v>0.0</v>
      </c>
      <c r="AJ200" s="7">
        <v>6.0</v>
      </c>
      <c r="AK200" s="7">
        <v>0.0</v>
      </c>
      <c r="AL200" s="7">
        <v>0.0</v>
      </c>
      <c r="AM200" s="7">
        <v>6.0</v>
      </c>
      <c r="AN200" s="8">
        <v>108.0</v>
      </c>
      <c r="AO200" s="4">
        <v>85.71</v>
      </c>
    </row>
    <row r="201">
      <c r="A201" s="3" t="s">
        <v>41</v>
      </c>
      <c r="B201" s="4">
        <v>40221.0</v>
      </c>
      <c r="C201" s="9">
        <v>46026.0</v>
      </c>
      <c r="D201" s="4" t="s">
        <v>81</v>
      </c>
      <c r="E201" s="3" t="s">
        <v>44</v>
      </c>
      <c r="F201" s="4">
        <v>83440.0</v>
      </c>
      <c r="G201" s="3" t="s">
        <v>624</v>
      </c>
      <c r="H201" s="3" t="s">
        <v>625</v>
      </c>
      <c r="I201" s="4">
        <v>6.363179416E9</v>
      </c>
      <c r="J201" s="5">
        <v>45853.65332175926</v>
      </c>
      <c r="K201" s="3" t="s">
        <v>155</v>
      </c>
      <c r="L201" s="3" t="s">
        <v>161</v>
      </c>
      <c r="M201" s="3" t="s">
        <v>162</v>
      </c>
      <c r="N201" s="3" t="s">
        <v>50</v>
      </c>
      <c r="O201" s="3" t="s">
        <v>51</v>
      </c>
      <c r="P201" s="6">
        <v>46178.0</v>
      </c>
      <c r="Q201" s="7" t="s">
        <v>95</v>
      </c>
      <c r="R201" s="4">
        <v>1984.0</v>
      </c>
      <c r="S201" s="3" t="s">
        <v>86</v>
      </c>
      <c r="T201" s="3" t="s">
        <v>87</v>
      </c>
      <c r="U201" s="3" t="s">
        <v>88</v>
      </c>
      <c r="V201" s="3" t="s">
        <v>89</v>
      </c>
      <c r="W201" s="3" t="s">
        <v>57</v>
      </c>
      <c r="X201" s="3" t="s">
        <v>58</v>
      </c>
      <c r="Y201" s="3" t="s">
        <v>59</v>
      </c>
      <c r="Z201" s="4">
        <v>8.0</v>
      </c>
      <c r="AA201" s="3" t="s">
        <v>90</v>
      </c>
      <c r="AB201" s="7">
        <v>41.0</v>
      </c>
      <c r="AC201" s="7">
        <v>23.0</v>
      </c>
      <c r="AD201" s="7">
        <v>18.0</v>
      </c>
      <c r="AE201" s="7">
        <v>41.0</v>
      </c>
      <c r="AF201" s="7">
        <v>23.0</v>
      </c>
      <c r="AG201" s="7">
        <v>18.0</v>
      </c>
      <c r="AH201" s="7">
        <v>5.0</v>
      </c>
      <c r="AI201" s="7">
        <v>0.0</v>
      </c>
      <c r="AJ201" s="7">
        <v>3.0</v>
      </c>
      <c r="AK201" s="7">
        <v>1.0</v>
      </c>
      <c r="AL201" s="7">
        <v>1.0</v>
      </c>
      <c r="AM201" s="7">
        <v>4.0</v>
      </c>
      <c r="AN201" s="8">
        <v>28.0</v>
      </c>
      <c r="AO201" s="4">
        <v>77.78</v>
      </c>
    </row>
    <row r="202">
      <c r="A202" s="3" t="s">
        <v>41</v>
      </c>
      <c r="B202" s="4">
        <v>40427.0</v>
      </c>
      <c r="C202" s="4" t="s">
        <v>127</v>
      </c>
      <c r="D202" s="4" t="s">
        <v>128</v>
      </c>
      <c r="E202" s="3" t="s">
        <v>44</v>
      </c>
      <c r="F202" s="4">
        <v>61585.0</v>
      </c>
      <c r="G202" s="3" t="s">
        <v>626</v>
      </c>
      <c r="H202" s="3" t="s">
        <v>627</v>
      </c>
      <c r="I202" s="4">
        <v>9.872099717E9</v>
      </c>
      <c r="J202" s="5">
        <v>44913.99359953704</v>
      </c>
      <c r="K202" s="3" t="s">
        <v>47</v>
      </c>
      <c r="L202" s="3" t="s">
        <v>628</v>
      </c>
      <c r="M202" s="3" t="s">
        <v>628</v>
      </c>
      <c r="N202" s="3" t="s">
        <v>50</v>
      </c>
      <c r="O202" s="3" t="s">
        <v>274</v>
      </c>
      <c r="P202" s="6">
        <v>46147.0</v>
      </c>
      <c r="Q202" s="7" t="s">
        <v>95</v>
      </c>
      <c r="R202" s="4">
        <v>94.0</v>
      </c>
      <c r="S202" s="3" t="s">
        <v>250</v>
      </c>
      <c r="T202" s="3" t="s">
        <v>135</v>
      </c>
      <c r="U202" s="3" t="s">
        <v>164</v>
      </c>
      <c r="V202" s="3" t="s">
        <v>56</v>
      </c>
      <c r="W202" s="3" t="s">
        <v>57</v>
      </c>
      <c r="X202" s="3" t="s">
        <v>58</v>
      </c>
      <c r="Y202" s="3" t="s">
        <v>59</v>
      </c>
      <c r="Z202" s="4">
        <v>7.0</v>
      </c>
      <c r="AA202" s="3" t="s">
        <v>60</v>
      </c>
      <c r="AB202" s="7">
        <v>71.0</v>
      </c>
      <c r="AC202" s="7">
        <v>0.0</v>
      </c>
      <c r="AD202" s="7">
        <v>71.0</v>
      </c>
      <c r="AE202" s="7">
        <v>71.0</v>
      </c>
      <c r="AF202" s="7">
        <v>0.0</v>
      </c>
      <c r="AG202" s="7">
        <v>71.0</v>
      </c>
      <c r="AH202" s="7">
        <v>6.0</v>
      </c>
      <c r="AI202" s="7">
        <v>0.0</v>
      </c>
      <c r="AJ202" s="7">
        <v>6.0</v>
      </c>
      <c r="AK202" s="7">
        <v>0.0</v>
      </c>
      <c r="AL202" s="7">
        <v>0.0</v>
      </c>
      <c r="AM202" s="7">
        <v>6.0</v>
      </c>
      <c r="AN202" s="8">
        <v>197.0</v>
      </c>
      <c r="AO202" s="4">
        <v>96.57</v>
      </c>
    </row>
    <row r="203">
      <c r="A203" s="3" t="s">
        <v>41</v>
      </c>
      <c r="B203" s="4">
        <v>40337.0</v>
      </c>
      <c r="C203" s="9">
        <v>46026.0</v>
      </c>
      <c r="D203" s="4" t="s">
        <v>43</v>
      </c>
      <c r="E203" s="3" t="s">
        <v>244</v>
      </c>
      <c r="F203" s="4">
        <v>89752.0</v>
      </c>
      <c r="G203" s="3" t="s">
        <v>629</v>
      </c>
      <c r="H203" s="3" t="s">
        <v>630</v>
      </c>
      <c r="I203" s="4">
        <v>7.406931633E9</v>
      </c>
      <c r="J203" s="5">
        <v>46134.53325231482</v>
      </c>
      <c r="K203" s="3" t="s">
        <v>124</v>
      </c>
      <c r="L203" s="3" t="s">
        <v>94</v>
      </c>
      <c r="M203" s="3" t="s">
        <v>64</v>
      </c>
      <c r="N203" s="3" t="s">
        <v>50</v>
      </c>
      <c r="O203" s="3" t="s">
        <v>51</v>
      </c>
      <c r="P203" s="6">
        <v>46239.0</v>
      </c>
      <c r="Q203" s="7" t="s">
        <v>66</v>
      </c>
      <c r="R203" s="4">
        <v>1788.0</v>
      </c>
      <c r="S203" s="3" t="s">
        <v>230</v>
      </c>
      <c r="T203" s="3" t="s">
        <v>54</v>
      </c>
      <c r="U203" s="3" t="s">
        <v>79</v>
      </c>
      <c r="V203" s="3" t="s">
        <v>69</v>
      </c>
      <c r="W203" s="3" t="s">
        <v>70</v>
      </c>
      <c r="X203" s="3" t="s">
        <v>58</v>
      </c>
      <c r="Y203" s="3" t="s">
        <v>59</v>
      </c>
      <c r="Z203" s="4">
        <v>8.0</v>
      </c>
      <c r="AA203" s="3" t="s">
        <v>60</v>
      </c>
      <c r="AB203" s="7">
        <v>65.0</v>
      </c>
      <c r="AC203" s="7">
        <v>0.0</v>
      </c>
      <c r="AD203" s="7">
        <v>65.0</v>
      </c>
      <c r="AE203" s="7">
        <v>41.0</v>
      </c>
      <c r="AF203" s="7">
        <v>0.0</v>
      </c>
      <c r="AG203" s="7">
        <v>41.0</v>
      </c>
      <c r="AH203" s="7">
        <v>6.0</v>
      </c>
      <c r="AI203" s="7">
        <v>0.0</v>
      </c>
      <c r="AJ203" s="7">
        <v>6.0</v>
      </c>
      <c r="AK203" s="7">
        <v>0.0</v>
      </c>
      <c r="AL203" s="7">
        <v>0.0</v>
      </c>
      <c r="AM203" s="7">
        <v>6.0</v>
      </c>
      <c r="AN203" s="8">
        <v>67.0</v>
      </c>
      <c r="AO203" s="4">
        <v>65.69</v>
      </c>
    </row>
    <row r="204">
      <c r="A204" s="3" t="s">
        <v>41</v>
      </c>
      <c r="B204" s="4">
        <v>40318.0</v>
      </c>
      <c r="C204" s="9">
        <v>46026.0</v>
      </c>
      <c r="D204" s="4" t="s">
        <v>43</v>
      </c>
      <c r="E204" s="3" t="s">
        <v>44</v>
      </c>
      <c r="F204" s="4">
        <v>89674.0</v>
      </c>
      <c r="G204" s="3" t="s">
        <v>631</v>
      </c>
      <c r="H204" s="3" t="s">
        <v>632</v>
      </c>
      <c r="I204" s="4">
        <v>8.930486101E9</v>
      </c>
      <c r="J204" s="5">
        <v>46132.4928125</v>
      </c>
      <c r="K204" s="3" t="s">
        <v>47</v>
      </c>
      <c r="L204" s="3" t="s">
        <v>633</v>
      </c>
      <c r="M204" s="3" t="s">
        <v>117</v>
      </c>
      <c r="N204" s="3" t="s">
        <v>50</v>
      </c>
      <c r="O204" s="3" t="s">
        <v>229</v>
      </c>
      <c r="P204" s="6">
        <v>46027.0</v>
      </c>
      <c r="Q204" s="7" t="s">
        <v>66</v>
      </c>
      <c r="R204" s="4">
        <v>1781.0</v>
      </c>
      <c r="S204" s="3" t="s">
        <v>205</v>
      </c>
      <c r="T204" s="3" t="s">
        <v>54</v>
      </c>
      <c r="U204" s="3" t="s">
        <v>68</v>
      </c>
      <c r="V204" s="3" t="s">
        <v>69</v>
      </c>
      <c r="W204" s="3" t="s">
        <v>70</v>
      </c>
      <c r="X204" s="3" t="s">
        <v>58</v>
      </c>
      <c r="Y204" s="3" t="s">
        <v>59</v>
      </c>
      <c r="Z204" s="4">
        <v>7.0</v>
      </c>
      <c r="AA204" s="3" t="s">
        <v>60</v>
      </c>
      <c r="AB204" s="7">
        <v>108.0</v>
      </c>
      <c r="AC204" s="7">
        <v>0.0</v>
      </c>
      <c r="AD204" s="7">
        <v>108.0</v>
      </c>
      <c r="AE204" s="7">
        <v>75.0</v>
      </c>
      <c r="AF204" s="7">
        <v>0.0</v>
      </c>
      <c r="AG204" s="7">
        <v>75.0</v>
      </c>
      <c r="AH204" s="7">
        <v>8.0</v>
      </c>
      <c r="AI204" s="7">
        <v>0.0</v>
      </c>
      <c r="AJ204" s="7">
        <v>8.0</v>
      </c>
      <c r="AK204" s="7">
        <v>0.0</v>
      </c>
      <c r="AL204" s="7">
        <v>0.0</v>
      </c>
      <c r="AM204" s="7">
        <v>8.0</v>
      </c>
      <c r="AN204" s="8">
        <v>165.0</v>
      </c>
      <c r="AO204" s="4">
        <v>96.71</v>
      </c>
    </row>
    <row r="205">
      <c r="A205" s="3" t="s">
        <v>41</v>
      </c>
      <c r="B205" s="4">
        <v>40405.0</v>
      </c>
      <c r="C205" s="4" t="s">
        <v>127</v>
      </c>
      <c r="D205" s="4" t="s">
        <v>128</v>
      </c>
      <c r="E205" s="3" t="s">
        <v>44</v>
      </c>
      <c r="F205" s="4">
        <v>75540.0</v>
      </c>
      <c r="G205" s="3" t="s">
        <v>634</v>
      </c>
      <c r="H205" s="3" t="s">
        <v>635</v>
      </c>
      <c r="I205" s="4">
        <v>8.5878127E9</v>
      </c>
      <c r="J205" s="5">
        <v>45512.029398148145</v>
      </c>
      <c r="K205" s="3" t="s">
        <v>226</v>
      </c>
      <c r="L205" s="3" t="s">
        <v>161</v>
      </c>
      <c r="M205" s="3" t="s">
        <v>162</v>
      </c>
      <c r="N205" s="3" t="s">
        <v>50</v>
      </c>
      <c r="O205" s="3" t="s">
        <v>51</v>
      </c>
      <c r="P205" s="6">
        <v>46027.0</v>
      </c>
      <c r="Q205" s="7" t="s">
        <v>519</v>
      </c>
      <c r="R205" s="4">
        <v>116.0</v>
      </c>
      <c r="S205" s="3" t="s">
        <v>486</v>
      </c>
      <c r="T205" s="3" t="s">
        <v>135</v>
      </c>
      <c r="U205" s="3" t="s">
        <v>164</v>
      </c>
      <c r="V205" s="3" t="s">
        <v>56</v>
      </c>
      <c r="W205" s="3" t="s">
        <v>57</v>
      </c>
      <c r="X205" s="3" t="s">
        <v>58</v>
      </c>
      <c r="Y205" s="3" t="s">
        <v>59</v>
      </c>
      <c r="Z205" s="4">
        <v>8.0</v>
      </c>
      <c r="AA205" s="3" t="s">
        <v>60</v>
      </c>
      <c r="AB205" s="7">
        <v>79.0</v>
      </c>
      <c r="AC205" s="7">
        <v>0.0</v>
      </c>
      <c r="AD205" s="7">
        <v>79.0</v>
      </c>
      <c r="AE205" s="7">
        <v>75.0</v>
      </c>
      <c r="AF205" s="7">
        <v>0.0</v>
      </c>
      <c r="AG205" s="7">
        <v>75.0</v>
      </c>
      <c r="AH205" s="7">
        <v>6.0</v>
      </c>
      <c r="AI205" s="7">
        <v>0.0</v>
      </c>
      <c r="AJ205" s="7">
        <v>6.0</v>
      </c>
      <c r="AK205" s="7">
        <v>0.0</v>
      </c>
      <c r="AL205" s="7">
        <v>0.0</v>
      </c>
      <c r="AM205" s="7">
        <v>6.0</v>
      </c>
      <c r="AN205" s="8">
        <v>234.0</v>
      </c>
      <c r="AO205" s="4">
        <v>100.0</v>
      </c>
    </row>
    <row r="206">
      <c r="A206" s="3" t="s">
        <v>41</v>
      </c>
      <c r="B206" s="4">
        <v>40367.0</v>
      </c>
      <c r="C206" s="9">
        <v>46330.0</v>
      </c>
      <c r="D206" s="4" t="s">
        <v>43</v>
      </c>
      <c r="E206" s="3" t="s">
        <v>44</v>
      </c>
      <c r="F206" s="4">
        <v>82040.0</v>
      </c>
      <c r="G206" s="3" t="s">
        <v>636</v>
      </c>
      <c r="H206" s="3" t="s">
        <v>637</v>
      </c>
      <c r="I206" s="4">
        <v>7.045358898E9</v>
      </c>
      <c r="J206" s="5">
        <v>45826.624456018515</v>
      </c>
      <c r="K206" s="3" t="s">
        <v>638</v>
      </c>
      <c r="L206" s="3" t="s">
        <v>161</v>
      </c>
      <c r="M206" s="3" t="s">
        <v>162</v>
      </c>
      <c r="N206" s="3" t="s">
        <v>50</v>
      </c>
      <c r="O206" s="3" t="s">
        <v>51</v>
      </c>
      <c r="P206" s="6">
        <v>46147.0</v>
      </c>
      <c r="Q206" s="7" t="s">
        <v>52</v>
      </c>
      <c r="R206" s="4">
        <v>1950.0</v>
      </c>
      <c r="S206" s="3" t="s">
        <v>96</v>
      </c>
      <c r="T206" s="3" t="s">
        <v>54</v>
      </c>
      <c r="U206" s="3" t="s">
        <v>55</v>
      </c>
      <c r="V206" s="3" t="s">
        <v>56</v>
      </c>
      <c r="W206" s="3" t="s">
        <v>57</v>
      </c>
      <c r="X206" s="3" t="s">
        <v>58</v>
      </c>
      <c r="Y206" s="3" t="s">
        <v>59</v>
      </c>
      <c r="Z206" s="4">
        <v>8.0</v>
      </c>
      <c r="AA206" s="3" t="s">
        <v>60</v>
      </c>
      <c r="AB206" s="7">
        <v>60.0</v>
      </c>
      <c r="AC206" s="7">
        <v>0.0</v>
      </c>
      <c r="AD206" s="7">
        <v>60.0</v>
      </c>
      <c r="AE206" s="7">
        <v>58.0</v>
      </c>
      <c r="AF206" s="7">
        <v>0.0</v>
      </c>
      <c r="AG206" s="7">
        <v>58.0</v>
      </c>
      <c r="AH206" s="7">
        <v>6.0</v>
      </c>
      <c r="AI206" s="7">
        <v>0.0</v>
      </c>
      <c r="AJ206" s="7">
        <v>5.0</v>
      </c>
      <c r="AK206" s="7">
        <v>1.0</v>
      </c>
      <c r="AL206" s="7">
        <v>0.0</v>
      </c>
      <c r="AM206" s="7">
        <v>6.0</v>
      </c>
      <c r="AN206" s="8">
        <v>82.0</v>
      </c>
      <c r="AO206" s="4">
        <v>39.05</v>
      </c>
    </row>
    <row r="207">
      <c r="A207" s="3" t="s">
        <v>41</v>
      </c>
      <c r="B207" s="4">
        <v>40232.0</v>
      </c>
      <c r="C207" s="9">
        <v>46026.0</v>
      </c>
      <c r="D207" s="4" t="s">
        <v>43</v>
      </c>
      <c r="E207" s="3" t="s">
        <v>244</v>
      </c>
      <c r="F207" s="4">
        <v>89808.0</v>
      </c>
      <c r="G207" s="3" t="s">
        <v>639</v>
      </c>
      <c r="H207" s="3" t="s">
        <v>640</v>
      </c>
      <c r="I207" s="4">
        <v>9.636967365E9</v>
      </c>
      <c r="J207" s="5">
        <v>46134.690150462964</v>
      </c>
      <c r="K207" s="3" t="s">
        <v>124</v>
      </c>
      <c r="L207" s="3" t="s">
        <v>84</v>
      </c>
      <c r="M207" s="3" t="s">
        <v>64</v>
      </c>
      <c r="N207" s="3" t="s">
        <v>50</v>
      </c>
      <c r="O207" s="3" t="s">
        <v>51</v>
      </c>
      <c r="P207" s="6">
        <v>46239.0</v>
      </c>
      <c r="Q207" s="7" t="s">
        <v>66</v>
      </c>
      <c r="R207" s="4">
        <v>1775.0</v>
      </c>
      <c r="S207" s="3" t="s">
        <v>295</v>
      </c>
      <c r="T207" s="3" t="s">
        <v>54</v>
      </c>
      <c r="U207" s="3" t="s">
        <v>79</v>
      </c>
      <c r="V207" s="3" t="s">
        <v>69</v>
      </c>
      <c r="W207" s="3" t="s">
        <v>70</v>
      </c>
      <c r="X207" s="3" t="s">
        <v>58</v>
      </c>
      <c r="Y207" s="3" t="s">
        <v>59</v>
      </c>
      <c r="Z207" s="4">
        <v>8.0</v>
      </c>
      <c r="AA207" s="3" t="s">
        <v>60</v>
      </c>
      <c r="AB207" s="7">
        <v>97.0</v>
      </c>
      <c r="AC207" s="7">
        <v>0.0</v>
      </c>
      <c r="AD207" s="7">
        <v>97.0</v>
      </c>
      <c r="AE207" s="7">
        <v>49.0</v>
      </c>
      <c r="AF207" s="7">
        <v>0.0</v>
      </c>
      <c r="AG207" s="7">
        <v>49.0</v>
      </c>
      <c r="AH207" s="7">
        <v>6.0</v>
      </c>
      <c r="AI207" s="7">
        <v>0.0</v>
      </c>
      <c r="AJ207" s="7">
        <v>6.0</v>
      </c>
      <c r="AK207" s="7">
        <v>0.0</v>
      </c>
      <c r="AL207" s="7">
        <v>0.0</v>
      </c>
      <c r="AM207" s="7">
        <v>6.0</v>
      </c>
      <c r="AN207" s="8">
        <v>58.0</v>
      </c>
      <c r="AO207" s="4">
        <v>96.67</v>
      </c>
    </row>
    <row r="208">
      <c r="A208" s="3" t="s">
        <v>41</v>
      </c>
      <c r="B208" s="4">
        <v>40417.0</v>
      </c>
      <c r="C208" s="4" t="s">
        <v>127</v>
      </c>
      <c r="D208" s="4" t="s">
        <v>128</v>
      </c>
      <c r="E208" s="3" t="s">
        <v>244</v>
      </c>
      <c r="F208" s="4">
        <v>62418.0</v>
      </c>
      <c r="G208" s="3" t="s">
        <v>641</v>
      </c>
      <c r="H208" s="3" t="s">
        <v>642</v>
      </c>
      <c r="I208" s="4">
        <v>9.205911236E9</v>
      </c>
      <c r="J208" s="5">
        <v>44968.102789351855</v>
      </c>
      <c r="K208" s="3" t="s">
        <v>47</v>
      </c>
      <c r="L208" s="3" t="s">
        <v>139</v>
      </c>
      <c r="M208" s="3" t="s">
        <v>140</v>
      </c>
      <c r="N208" s="3" t="s">
        <v>50</v>
      </c>
      <c r="O208" s="3" t="s">
        <v>51</v>
      </c>
      <c r="P208" s="6">
        <v>46117.0</v>
      </c>
      <c r="Q208" s="7" t="s">
        <v>245</v>
      </c>
      <c r="R208" s="4">
        <v>114.0</v>
      </c>
      <c r="S208" s="3" t="s">
        <v>471</v>
      </c>
      <c r="T208" s="3" t="s">
        <v>135</v>
      </c>
      <c r="U208" s="3" t="s">
        <v>164</v>
      </c>
      <c r="V208" s="3" t="s">
        <v>56</v>
      </c>
      <c r="W208" s="3" t="s">
        <v>57</v>
      </c>
      <c r="X208" s="3" t="s">
        <v>58</v>
      </c>
      <c r="Y208" s="3" t="s">
        <v>59</v>
      </c>
      <c r="Z208" s="4">
        <v>7.0</v>
      </c>
      <c r="AA208" s="3" t="s">
        <v>60</v>
      </c>
      <c r="AB208" s="7">
        <v>47.0</v>
      </c>
      <c r="AC208" s="7">
        <v>0.0</v>
      </c>
      <c r="AD208" s="7">
        <v>47.0</v>
      </c>
      <c r="AE208" s="7">
        <v>47.0</v>
      </c>
      <c r="AF208" s="7">
        <v>0.0</v>
      </c>
      <c r="AG208" s="7">
        <v>47.0</v>
      </c>
      <c r="AH208" s="7">
        <v>5.0</v>
      </c>
      <c r="AI208" s="7">
        <v>0.0</v>
      </c>
      <c r="AJ208" s="7">
        <v>4.0</v>
      </c>
      <c r="AK208" s="7">
        <v>1.0</v>
      </c>
      <c r="AL208" s="7">
        <v>0.0</v>
      </c>
      <c r="AM208" s="7">
        <v>5.0</v>
      </c>
      <c r="AN208" s="8">
        <v>67.0</v>
      </c>
      <c r="AO208" s="4">
        <v>67.0</v>
      </c>
    </row>
    <row r="209">
      <c r="A209" s="3" t="s">
        <v>41</v>
      </c>
      <c r="B209" s="4">
        <v>40419.0</v>
      </c>
      <c r="C209" s="4" t="s">
        <v>127</v>
      </c>
      <c r="D209" s="4" t="s">
        <v>128</v>
      </c>
      <c r="E209" s="3" t="s">
        <v>244</v>
      </c>
      <c r="F209" s="4">
        <v>62418.0</v>
      </c>
      <c r="G209" s="3" t="s">
        <v>641</v>
      </c>
      <c r="H209" s="3" t="s">
        <v>642</v>
      </c>
      <c r="I209" s="4">
        <v>9.205911236E9</v>
      </c>
      <c r="J209" s="5">
        <v>44968.102789351855</v>
      </c>
      <c r="K209" s="3" t="s">
        <v>47</v>
      </c>
      <c r="L209" s="3" t="s">
        <v>139</v>
      </c>
      <c r="M209" s="3" t="s">
        <v>140</v>
      </c>
      <c r="N209" s="3" t="s">
        <v>50</v>
      </c>
      <c r="O209" s="3" t="s">
        <v>51</v>
      </c>
      <c r="P209" s="6">
        <v>46117.0</v>
      </c>
      <c r="Q209" s="7" t="s">
        <v>245</v>
      </c>
      <c r="R209" s="4">
        <v>115.0</v>
      </c>
      <c r="S209" s="3" t="s">
        <v>472</v>
      </c>
      <c r="T209" s="3" t="s">
        <v>135</v>
      </c>
      <c r="U209" s="3" t="s">
        <v>164</v>
      </c>
      <c r="V209" s="3" t="s">
        <v>56</v>
      </c>
      <c r="W209" s="3" t="s">
        <v>57</v>
      </c>
      <c r="X209" s="3" t="s">
        <v>58</v>
      </c>
      <c r="Y209" s="3" t="s">
        <v>59</v>
      </c>
      <c r="Z209" s="4">
        <v>7.0</v>
      </c>
      <c r="AA209" s="3" t="s">
        <v>60</v>
      </c>
      <c r="AB209" s="7">
        <v>44.0</v>
      </c>
      <c r="AC209" s="7">
        <v>0.0</v>
      </c>
      <c r="AD209" s="7">
        <v>44.0</v>
      </c>
      <c r="AE209" s="7">
        <v>44.0</v>
      </c>
      <c r="AF209" s="7">
        <v>0.0</v>
      </c>
      <c r="AG209" s="7">
        <v>44.0</v>
      </c>
      <c r="AH209" s="7">
        <v>5.0</v>
      </c>
      <c r="AI209" s="7">
        <v>0.0</v>
      </c>
      <c r="AJ209" s="7">
        <v>4.0</v>
      </c>
      <c r="AK209" s="7">
        <v>1.0</v>
      </c>
      <c r="AL209" s="7">
        <v>0.0</v>
      </c>
      <c r="AM209" s="7">
        <v>5.0</v>
      </c>
      <c r="AN209" s="8">
        <v>44.0</v>
      </c>
      <c r="AO209" s="4">
        <v>67.69</v>
      </c>
    </row>
    <row r="210">
      <c r="A210" s="3" t="s">
        <v>41</v>
      </c>
      <c r="B210" s="4">
        <v>40240.0</v>
      </c>
      <c r="C210" s="9">
        <v>46026.0</v>
      </c>
      <c r="D210" s="4" t="s">
        <v>43</v>
      </c>
      <c r="E210" s="3" t="s">
        <v>44</v>
      </c>
      <c r="F210" s="4">
        <v>75059.0</v>
      </c>
      <c r="G210" s="3" t="s">
        <v>643</v>
      </c>
      <c r="H210" s="3" t="s">
        <v>644</v>
      </c>
      <c r="I210" s="4">
        <v>7.021970585E9</v>
      </c>
      <c r="J210" s="5">
        <v>45499.656122685185</v>
      </c>
      <c r="K210" s="3" t="s">
        <v>47</v>
      </c>
      <c r="L210" s="3" t="s">
        <v>161</v>
      </c>
      <c r="M210" s="3" t="s">
        <v>162</v>
      </c>
      <c r="N210" s="3" t="s">
        <v>50</v>
      </c>
      <c r="O210" s="3" t="s">
        <v>101</v>
      </c>
      <c r="P210" s="6">
        <v>46147.0</v>
      </c>
      <c r="Q210" s="7" t="s">
        <v>77</v>
      </c>
      <c r="R210" s="4">
        <v>1791.0</v>
      </c>
      <c r="S210" s="3" t="s">
        <v>67</v>
      </c>
      <c r="T210" s="3" t="s">
        <v>54</v>
      </c>
      <c r="U210" s="3" t="s">
        <v>68</v>
      </c>
      <c r="V210" s="3" t="s">
        <v>69</v>
      </c>
      <c r="W210" s="3" t="s">
        <v>70</v>
      </c>
      <c r="X210" s="3" t="s">
        <v>58</v>
      </c>
      <c r="Y210" s="3" t="s">
        <v>59</v>
      </c>
      <c r="Z210" s="4">
        <v>6.0</v>
      </c>
      <c r="AA210" s="3" t="s">
        <v>80</v>
      </c>
      <c r="AB210" s="7">
        <v>127.0</v>
      </c>
      <c r="AC210" s="7">
        <v>0.0</v>
      </c>
      <c r="AD210" s="7">
        <v>127.0</v>
      </c>
      <c r="AE210" s="7">
        <v>92.0</v>
      </c>
      <c r="AF210" s="7">
        <v>0.0</v>
      </c>
      <c r="AG210" s="7">
        <v>92.0</v>
      </c>
      <c r="AH210" s="7">
        <v>7.0</v>
      </c>
      <c r="AI210" s="7">
        <v>0.0</v>
      </c>
      <c r="AJ210" s="7">
        <v>7.0</v>
      </c>
      <c r="AK210" s="7">
        <v>0.0</v>
      </c>
      <c r="AL210" s="7">
        <v>0.0</v>
      </c>
      <c r="AM210" s="7">
        <v>7.0</v>
      </c>
      <c r="AN210" s="8">
        <v>112.0</v>
      </c>
      <c r="AO210" s="4">
        <v>100.0</v>
      </c>
    </row>
    <row r="211">
      <c r="A211" s="3" t="s">
        <v>41</v>
      </c>
      <c r="B211" s="4">
        <v>40288.0</v>
      </c>
      <c r="C211" s="9">
        <v>46026.0</v>
      </c>
      <c r="D211" s="4" t="s">
        <v>43</v>
      </c>
      <c r="E211" s="3" t="s">
        <v>44</v>
      </c>
      <c r="F211" s="4">
        <v>75059.0</v>
      </c>
      <c r="G211" s="3" t="s">
        <v>643</v>
      </c>
      <c r="H211" s="3" t="s">
        <v>644</v>
      </c>
      <c r="I211" s="4">
        <v>7.021970585E9</v>
      </c>
      <c r="J211" s="5">
        <v>45499.656122685185</v>
      </c>
      <c r="K211" s="3" t="s">
        <v>47</v>
      </c>
      <c r="L211" s="3" t="s">
        <v>161</v>
      </c>
      <c r="M211" s="3" t="s">
        <v>162</v>
      </c>
      <c r="N211" s="3" t="s">
        <v>50</v>
      </c>
      <c r="O211" s="3" t="s">
        <v>101</v>
      </c>
      <c r="P211" s="6">
        <v>46147.0</v>
      </c>
      <c r="Q211" s="7" t="s">
        <v>77</v>
      </c>
      <c r="R211" s="4">
        <v>1789.0</v>
      </c>
      <c r="S211" s="3" t="s">
        <v>142</v>
      </c>
      <c r="T211" s="3" t="s">
        <v>54</v>
      </c>
      <c r="U211" s="3" t="s">
        <v>79</v>
      </c>
      <c r="V211" s="3" t="s">
        <v>69</v>
      </c>
      <c r="W211" s="3" t="s">
        <v>70</v>
      </c>
      <c r="X211" s="3" t="s">
        <v>58</v>
      </c>
      <c r="Y211" s="3" t="s">
        <v>59</v>
      </c>
      <c r="Z211" s="4">
        <v>8.0</v>
      </c>
      <c r="AA211" s="3" t="s">
        <v>80</v>
      </c>
      <c r="AB211" s="7">
        <v>91.0</v>
      </c>
      <c r="AC211" s="7">
        <v>0.0</v>
      </c>
      <c r="AD211" s="7">
        <v>91.0</v>
      </c>
      <c r="AE211" s="7">
        <v>58.0</v>
      </c>
      <c r="AF211" s="7">
        <v>0.0</v>
      </c>
      <c r="AG211" s="7">
        <v>58.0</v>
      </c>
      <c r="AH211" s="7">
        <v>8.0</v>
      </c>
      <c r="AI211" s="7">
        <v>0.0</v>
      </c>
      <c r="AJ211" s="7">
        <v>8.0</v>
      </c>
      <c r="AK211" s="7">
        <v>0.0</v>
      </c>
      <c r="AL211" s="7">
        <v>0.0</v>
      </c>
      <c r="AM211" s="7">
        <v>8.0</v>
      </c>
      <c r="AN211" s="8">
        <v>224.0</v>
      </c>
      <c r="AO211" s="4">
        <v>73.68</v>
      </c>
    </row>
    <row r="212">
      <c r="A212" s="3" t="s">
        <v>41</v>
      </c>
      <c r="B212" s="4">
        <v>40261.0</v>
      </c>
      <c r="C212" s="4" t="s">
        <v>42</v>
      </c>
      <c r="D212" s="4" t="s">
        <v>81</v>
      </c>
      <c r="E212" s="3" t="s">
        <v>44</v>
      </c>
      <c r="F212" s="4">
        <v>79536.0</v>
      </c>
      <c r="G212" s="3" t="s">
        <v>645</v>
      </c>
      <c r="H212" s="3" t="s">
        <v>646</v>
      </c>
      <c r="I212" s="4">
        <v>9.451057829E9</v>
      </c>
      <c r="J212" s="5">
        <v>45665.45725694444</v>
      </c>
      <c r="K212" s="3" t="s">
        <v>319</v>
      </c>
      <c r="L212" s="3" t="s">
        <v>331</v>
      </c>
      <c r="M212" s="3" t="s">
        <v>117</v>
      </c>
      <c r="N212" s="3" t="s">
        <v>50</v>
      </c>
      <c r="O212" s="3" t="s">
        <v>249</v>
      </c>
      <c r="P212" s="6">
        <v>46058.0</v>
      </c>
      <c r="Q212" s="7" t="s">
        <v>106</v>
      </c>
      <c r="R212" s="4">
        <v>1984.0</v>
      </c>
      <c r="S212" s="3" t="s">
        <v>86</v>
      </c>
      <c r="T212" s="3" t="s">
        <v>87</v>
      </c>
      <c r="U212" s="3" t="s">
        <v>88</v>
      </c>
      <c r="V212" s="3" t="s">
        <v>89</v>
      </c>
      <c r="W212" s="3" t="s">
        <v>57</v>
      </c>
      <c r="X212" s="3" t="s">
        <v>58</v>
      </c>
      <c r="Y212" s="3" t="s">
        <v>59</v>
      </c>
      <c r="Z212" s="4">
        <v>8.0</v>
      </c>
      <c r="AA212" s="3" t="s">
        <v>193</v>
      </c>
      <c r="AB212" s="7">
        <v>41.0</v>
      </c>
      <c r="AC212" s="7">
        <v>23.0</v>
      </c>
      <c r="AD212" s="7">
        <v>18.0</v>
      </c>
      <c r="AE212" s="7">
        <v>41.0</v>
      </c>
      <c r="AF212" s="7">
        <v>23.0</v>
      </c>
      <c r="AG212" s="7">
        <v>18.0</v>
      </c>
      <c r="AH212" s="7">
        <v>8.0</v>
      </c>
      <c r="AI212" s="7">
        <v>0.0</v>
      </c>
      <c r="AJ212" s="7">
        <v>7.0</v>
      </c>
      <c r="AK212" s="7">
        <v>0.0</v>
      </c>
      <c r="AL212" s="7">
        <v>1.0</v>
      </c>
      <c r="AM212" s="7">
        <v>7.0</v>
      </c>
      <c r="AN212" s="8">
        <v>51.0</v>
      </c>
      <c r="AO212" s="4">
        <v>80.95</v>
      </c>
    </row>
    <row r="213">
      <c r="A213" s="3" t="s">
        <v>41</v>
      </c>
      <c r="B213" s="4">
        <v>40228.0</v>
      </c>
      <c r="C213" s="9">
        <v>46299.0</v>
      </c>
      <c r="D213" s="4" t="s">
        <v>81</v>
      </c>
      <c r="E213" s="3" t="s">
        <v>44</v>
      </c>
      <c r="F213" s="4">
        <v>89484.0</v>
      </c>
      <c r="G213" s="3" t="s">
        <v>647</v>
      </c>
      <c r="H213" s="3" t="s">
        <v>648</v>
      </c>
      <c r="I213" s="4">
        <v>9.8218329E9</v>
      </c>
      <c r="J213" s="5">
        <v>46122.70138888889</v>
      </c>
      <c r="K213" s="3" t="s">
        <v>47</v>
      </c>
      <c r="L213" s="3" t="s">
        <v>145</v>
      </c>
      <c r="M213" s="3" t="s">
        <v>54</v>
      </c>
      <c r="N213" s="3" t="s">
        <v>50</v>
      </c>
      <c r="O213" s="3" t="s">
        <v>76</v>
      </c>
      <c r="P213" s="6">
        <v>46117.0</v>
      </c>
      <c r="Q213" s="7" t="s">
        <v>85</v>
      </c>
      <c r="R213" s="4">
        <v>1758.0</v>
      </c>
      <c r="S213" s="3" t="s">
        <v>190</v>
      </c>
      <c r="T213" s="3" t="s">
        <v>191</v>
      </c>
      <c r="U213" s="3" t="s">
        <v>192</v>
      </c>
      <c r="V213" s="3" t="s">
        <v>89</v>
      </c>
      <c r="W213" s="3" t="s">
        <v>57</v>
      </c>
      <c r="X213" s="3" t="s">
        <v>58</v>
      </c>
      <c r="Y213" s="3" t="s">
        <v>59</v>
      </c>
      <c r="Z213" s="4">
        <v>7.0</v>
      </c>
      <c r="AA213" s="3" t="s">
        <v>90</v>
      </c>
      <c r="AB213" s="7">
        <v>31.0</v>
      </c>
      <c r="AC213" s="7">
        <v>17.0</v>
      </c>
      <c r="AD213" s="7">
        <v>14.0</v>
      </c>
      <c r="AE213" s="7">
        <v>31.0</v>
      </c>
      <c r="AF213" s="7">
        <v>17.0</v>
      </c>
      <c r="AG213" s="7">
        <v>14.0</v>
      </c>
      <c r="AH213" s="7">
        <v>7.0</v>
      </c>
      <c r="AI213" s="7">
        <v>0.0</v>
      </c>
      <c r="AJ213" s="7">
        <v>3.0</v>
      </c>
      <c r="AK213" s="7">
        <v>0.0</v>
      </c>
      <c r="AL213" s="7">
        <v>4.0</v>
      </c>
      <c r="AM213" s="7">
        <v>3.0</v>
      </c>
      <c r="AN213" s="8">
        <v>28.0</v>
      </c>
      <c r="AO213" s="4">
        <v>93.33</v>
      </c>
    </row>
    <row r="214">
      <c r="A214" s="3" t="s">
        <v>41</v>
      </c>
      <c r="B214" s="4">
        <v>40324.0</v>
      </c>
      <c r="C214" s="9">
        <v>46026.0</v>
      </c>
      <c r="D214" s="4" t="s">
        <v>43</v>
      </c>
      <c r="E214" s="3" t="s">
        <v>44</v>
      </c>
      <c r="F214" s="4">
        <v>89758.0</v>
      </c>
      <c r="G214" s="3" t="s">
        <v>649</v>
      </c>
      <c r="H214" s="3" t="s">
        <v>650</v>
      </c>
      <c r="I214" s="4">
        <v>8.470945419E9</v>
      </c>
      <c r="J214" s="5">
        <v>46134.53445601852</v>
      </c>
      <c r="K214" s="3" t="s">
        <v>124</v>
      </c>
      <c r="L214" s="3" t="s">
        <v>94</v>
      </c>
      <c r="M214" s="3" t="s">
        <v>64</v>
      </c>
      <c r="N214" s="3" t="s">
        <v>50</v>
      </c>
      <c r="O214" s="3" t="s">
        <v>51</v>
      </c>
      <c r="P214" s="6">
        <v>46239.0</v>
      </c>
      <c r="Q214" s="7" t="s">
        <v>66</v>
      </c>
      <c r="R214" s="4">
        <v>1783.0</v>
      </c>
      <c r="S214" s="3" t="s">
        <v>310</v>
      </c>
      <c r="T214" s="3" t="s">
        <v>54</v>
      </c>
      <c r="U214" s="3" t="s">
        <v>68</v>
      </c>
      <c r="V214" s="3" t="s">
        <v>69</v>
      </c>
      <c r="W214" s="3" t="s">
        <v>70</v>
      </c>
      <c r="X214" s="3" t="s">
        <v>58</v>
      </c>
      <c r="Y214" s="3" t="s">
        <v>59</v>
      </c>
      <c r="Z214" s="4">
        <v>7.0</v>
      </c>
      <c r="AA214" s="3" t="s">
        <v>60</v>
      </c>
      <c r="AB214" s="7">
        <v>129.0</v>
      </c>
      <c r="AC214" s="7">
        <v>0.0</v>
      </c>
      <c r="AD214" s="7">
        <v>129.0</v>
      </c>
      <c r="AE214" s="7">
        <v>93.0</v>
      </c>
      <c r="AF214" s="7">
        <v>0.0</v>
      </c>
      <c r="AG214" s="7">
        <v>93.0</v>
      </c>
      <c r="AH214" s="7">
        <v>6.0</v>
      </c>
      <c r="AI214" s="7">
        <v>0.0</v>
      </c>
      <c r="AJ214" s="7">
        <v>6.0</v>
      </c>
      <c r="AK214" s="7">
        <v>0.0</v>
      </c>
      <c r="AL214" s="7">
        <v>0.0</v>
      </c>
      <c r="AM214" s="7">
        <v>6.0</v>
      </c>
      <c r="AN214" s="8">
        <v>192.0</v>
      </c>
      <c r="AO214" s="4">
        <v>100.0</v>
      </c>
    </row>
    <row r="215">
      <c r="A215" s="3" t="s">
        <v>41</v>
      </c>
      <c r="B215" s="4">
        <v>40378.0</v>
      </c>
      <c r="C215" s="4" t="s">
        <v>42</v>
      </c>
      <c r="D215" s="4" t="s">
        <v>43</v>
      </c>
      <c r="E215" s="3" t="s">
        <v>44</v>
      </c>
      <c r="F215" s="4">
        <v>77360.0</v>
      </c>
      <c r="G215" s="3" t="s">
        <v>651</v>
      </c>
      <c r="H215" s="3" t="s">
        <v>652</v>
      </c>
      <c r="I215" s="4">
        <v>9.322206202E9</v>
      </c>
      <c r="J215" s="5">
        <v>45580.773043981484</v>
      </c>
      <c r="K215" s="3" t="s">
        <v>47</v>
      </c>
      <c r="L215" s="3" t="s">
        <v>653</v>
      </c>
      <c r="M215" s="3" t="s">
        <v>135</v>
      </c>
      <c r="N215" s="3" t="s">
        <v>50</v>
      </c>
      <c r="O215" s="3" t="s">
        <v>101</v>
      </c>
      <c r="P215" s="6">
        <v>46027.0</v>
      </c>
      <c r="Q215" s="7" t="s">
        <v>66</v>
      </c>
      <c r="R215" s="4">
        <v>1943.0</v>
      </c>
      <c r="S215" s="3" t="s">
        <v>581</v>
      </c>
      <c r="T215" s="3" t="s">
        <v>54</v>
      </c>
      <c r="U215" s="3" t="s">
        <v>108</v>
      </c>
      <c r="V215" s="3" t="s">
        <v>56</v>
      </c>
      <c r="W215" s="3" t="s">
        <v>57</v>
      </c>
      <c r="X215" s="3" t="s">
        <v>58</v>
      </c>
      <c r="Y215" s="3" t="s">
        <v>59</v>
      </c>
      <c r="Z215" s="4">
        <v>7.0</v>
      </c>
      <c r="AA215" s="3" t="s">
        <v>60</v>
      </c>
      <c r="AB215" s="7">
        <v>65.0</v>
      </c>
      <c r="AC215" s="7">
        <v>0.0</v>
      </c>
      <c r="AD215" s="7">
        <v>65.0</v>
      </c>
      <c r="AE215" s="7">
        <v>63.0</v>
      </c>
      <c r="AF215" s="7">
        <v>0.0</v>
      </c>
      <c r="AG215" s="7">
        <v>63.0</v>
      </c>
      <c r="AH215" s="7">
        <v>8.0</v>
      </c>
      <c r="AI215" s="7">
        <v>0.0</v>
      </c>
      <c r="AJ215" s="7">
        <v>7.0</v>
      </c>
      <c r="AK215" s="7">
        <v>1.0</v>
      </c>
      <c r="AL215" s="7">
        <v>0.0</v>
      </c>
      <c r="AM215" s="7">
        <v>8.0</v>
      </c>
      <c r="AN215" s="8">
        <v>180.0</v>
      </c>
      <c r="AO215" s="4">
        <v>78.95</v>
      </c>
    </row>
    <row r="216">
      <c r="A216" s="3" t="s">
        <v>41</v>
      </c>
      <c r="B216" s="4">
        <v>40396.0</v>
      </c>
      <c r="C216" s="4" t="s">
        <v>127</v>
      </c>
      <c r="D216" s="4" t="s">
        <v>128</v>
      </c>
      <c r="E216" s="3" t="s">
        <v>44</v>
      </c>
      <c r="F216" s="4">
        <v>77360.0</v>
      </c>
      <c r="G216" s="3" t="s">
        <v>651</v>
      </c>
      <c r="H216" s="3" t="s">
        <v>652</v>
      </c>
      <c r="I216" s="4">
        <v>9.322206202E9</v>
      </c>
      <c r="J216" s="5">
        <v>45580.773043981484</v>
      </c>
      <c r="K216" s="3" t="s">
        <v>47</v>
      </c>
      <c r="L216" s="3" t="s">
        <v>653</v>
      </c>
      <c r="M216" s="3" t="s">
        <v>135</v>
      </c>
      <c r="N216" s="3" t="s">
        <v>50</v>
      </c>
      <c r="O216" s="3" t="s">
        <v>101</v>
      </c>
      <c r="P216" s="6">
        <v>46117.0</v>
      </c>
      <c r="Q216" s="7" t="s">
        <v>118</v>
      </c>
      <c r="R216" s="4">
        <v>1320.0</v>
      </c>
      <c r="S216" s="3" t="s">
        <v>590</v>
      </c>
      <c r="T216" s="3" t="s">
        <v>135</v>
      </c>
      <c r="U216" s="3" t="s">
        <v>136</v>
      </c>
      <c r="V216" s="3" t="s">
        <v>56</v>
      </c>
      <c r="W216" s="3" t="s">
        <v>57</v>
      </c>
      <c r="X216" s="3" t="s">
        <v>58</v>
      </c>
      <c r="Y216" s="3" t="s">
        <v>59</v>
      </c>
      <c r="Z216" s="4">
        <v>6.0</v>
      </c>
      <c r="AA216" s="3" t="s">
        <v>60</v>
      </c>
      <c r="AB216" s="7">
        <v>288.0</v>
      </c>
      <c r="AC216" s="7">
        <v>143.0</v>
      </c>
      <c r="AD216" s="7">
        <v>145.0</v>
      </c>
      <c r="AE216" s="7">
        <v>145.0</v>
      </c>
      <c r="AF216" s="7">
        <v>76.0</v>
      </c>
      <c r="AG216" s="7">
        <v>69.0</v>
      </c>
      <c r="AH216" s="7">
        <v>6.0</v>
      </c>
      <c r="AI216" s="7">
        <v>0.0</v>
      </c>
      <c r="AJ216" s="7">
        <v>0.0</v>
      </c>
      <c r="AK216" s="7">
        <v>6.0</v>
      </c>
      <c r="AL216" s="7">
        <v>0.0</v>
      </c>
      <c r="AM216" s="7">
        <v>6.0</v>
      </c>
      <c r="AN216" s="8">
        <v>171.0</v>
      </c>
      <c r="AO216" s="4">
        <v>83.82</v>
      </c>
    </row>
    <row r="217">
      <c r="A217" s="3" t="s">
        <v>41</v>
      </c>
      <c r="B217" s="4">
        <v>40304.0</v>
      </c>
      <c r="C217" s="9">
        <v>46299.0</v>
      </c>
      <c r="D217" s="4" t="s">
        <v>91</v>
      </c>
      <c r="E217" s="3" t="s">
        <v>44</v>
      </c>
      <c r="F217" s="4">
        <v>89562.0</v>
      </c>
      <c r="G217" s="3" t="s">
        <v>654</v>
      </c>
      <c r="H217" s="3" t="s">
        <v>655</v>
      </c>
      <c r="I217" s="4">
        <v>8.265072577E9</v>
      </c>
      <c r="J217" s="5">
        <v>46126.99728009259</v>
      </c>
      <c r="K217" s="3" t="s">
        <v>47</v>
      </c>
      <c r="L217" s="3" t="s">
        <v>656</v>
      </c>
      <c r="M217" s="3" t="s">
        <v>64</v>
      </c>
      <c r="N217" s="3" t="s">
        <v>50</v>
      </c>
      <c r="O217" s="3" t="s">
        <v>65</v>
      </c>
      <c r="P217" s="6">
        <v>46147.0</v>
      </c>
      <c r="Q217" s="7" t="s">
        <v>95</v>
      </c>
      <c r="R217" s="4">
        <v>1720.0</v>
      </c>
      <c r="S217" s="3" t="s">
        <v>179</v>
      </c>
      <c r="T217" s="3" t="s">
        <v>54</v>
      </c>
      <c r="U217" s="3" t="s">
        <v>79</v>
      </c>
      <c r="V217" s="3" t="s">
        <v>120</v>
      </c>
      <c r="W217" s="3" t="s">
        <v>57</v>
      </c>
      <c r="X217" s="3" t="s">
        <v>58</v>
      </c>
      <c r="Y217" s="3" t="s">
        <v>59</v>
      </c>
      <c r="Z217" s="4">
        <v>7.0</v>
      </c>
      <c r="AA217" s="3" t="s">
        <v>234</v>
      </c>
      <c r="AB217" s="7">
        <v>57.0</v>
      </c>
      <c r="AC217" s="7">
        <v>0.0</v>
      </c>
      <c r="AD217" s="7">
        <v>57.0</v>
      </c>
      <c r="AE217" s="7">
        <v>57.0</v>
      </c>
      <c r="AF217" s="7">
        <v>0.0</v>
      </c>
      <c r="AG217" s="7">
        <v>57.0</v>
      </c>
      <c r="AH217" s="10">
        <v>5.0</v>
      </c>
      <c r="AI217" s="7">
        <v>0.0</v>
      </c>
      <c r="AJ217" s="7">
        <v>4.0</v>
      </c>
      <c r="AK217" s="10">
        <v>1.0</v>
      </c>
      <c r="AL217" s="7">
        <v>0.0</v>
      </c>
      <c r="AM217" s="10">
        <v>5.0</v>
      </c>
      <c r="AN217" s="8">
        <v>82.0</v>
      </c>
      <c r="AO217" s="4">
        <v>56.55</v>
      </c>
    </row>
    <row r="218">
      <c r="A218" s="3" t="s">
        <v>41</v>
      </c>
      <c r="B218" s="4">
        <v>40217.0</v>
      </c>
      <c r="C218" s="9">
        <v>46026.0</v>
      </c>
      <c r="D218" s="4" t="s">
        <v>81</v>
      </c>
      <c r="E218" s="3" t="s">
        <v>44</v>
      </c>
      <c r="F218" s="4">
        <v>90024.0</v>
      </c>
      <c r="G218" s="3" t="s">
        <v>657</v>
      </c>
      <c r="H218" s="3" t="s">
        <v>658</v>
      </c>
      <c r="I218" s="4">
        <v>9.555854551E9</v>
      </c>
      <c r="J218" s="5">
        <v>46141.99994212963</v>
      </c>
      <c r="K218" s="3" t="s">
        <v>47</v>
      </c>
      <c r="L218" s="3" t="s">
        <v>659</v>
      </c>
      <c r="M218" s="3" t="s">
        <v>54</v>
      </c>
      <c r="N218" s="3" t="s">
        <v>50</v>
      </c>
      <c r="O218" s="3" t="s">
        <v>65</v>
      </c>
      <c r="P218" s="6">
        <v>46361.0</v>
      </c>
      <c r="Q218" s="7" t="s">
        <v>106</v>
      </c>
      <c r="R218" s="4">
        <v>1984.0</v>
      </c>
      <c r="S218" s="3" t="s">
        <v>86</v>
      </c>
      <c r="T218" s="3" t="s">
        <v>87</v>
      </c>
      <c r="U218" s="3" t="s">
        <v>88</v>
      </c>
      <c r="V218" s="3" t="s">
        <v>89</v>
      </c>
      <c r="W218" s="3" t="s">
        <v>57</v>
      </c>
      <c r="X218" s="3" t="s">
        <v>58</v>
      </c>
      <c r="Y218" s="3" t="s">
        <v>59</v>
      </c>
      <c r="Z218" s="4">
        <v>6.0</v>
      </c>
      <c r="AA218" s="3" t="s">
        <v>90</v>
      </c>
      <c r="AB218" s="7">
        <v>41.0</v>
      </c>
      <c r="AC218" s="7">
        <v>23.0</v>
      </c>
      <c r="AD218" s="7">
        <v>18.0</v>
      </c>
      <c r="AE218" s="7">
        <v>41.0</v>
      </c>
      <c r="AF218" s="7">
        <v>23.0</v>
      </c>
      <c r="AG218" s="7">
        <v>18.0</v>
      </c>
      <c r="AH218" s="7">
        <v>5.0</v>
      </c>
      <c r="AI218" s="7">
        <v>0.0</v>
      </c>
      <c r="AJ218" s="7">
        <v>3.0</v>
      </c>
      <c r="AK218" s="7">
        <v>0.0</v>
      </c>
      <c r="AL218" s="7">
        <v>2.0</v>
      </c>
      <c r="AM218" s="7">
        <v>3.0</v>
      </c>
      <c r="AN218" s="8">
        <v>27.0</v>
      </c>
      <c r="AO218" s="4">
        <v>69.23</v>
      </c>
    </row>
    <row r="219">
      <c r="A219" s="3" t="s">
        <v>41</v>
      </c>
      <c r="B219" s="4">
        <v>40302.0</v>
      </c>
      <c r="C219" s="9">
        <v>46026.0</v>
      </c>
      <c r="D219" s="4" t="s">
        <v>43</v>
      </c>
      <c r="E219" s="3" t="s">
        <v>44</v>
      </c>
      <c r="F219" s="4">
        <v>27924.0</v>
      </c>
      <c r="G219" s="3" t="s">
        <v>660</v>
      </c>
      <c r="H219" s="3" t="s">
        <v>661</v>
      </c>
      <c r="I219" s="4">
        <v>9.84036628E9</v>
      </c>
      <c r="J219" s="5">
        <v>43600.89809027778</v>
      </c>
      <c r="K219" s="3" t="s">
        <v>47</v>
      </c>
      <c r="L219" s="3" t="s">
        <v>508</v>
      </c>
      <c r="M219" s="3" t="s">
        <v>112</v>
      </c>
      <c r="N219" s="3" t="s">
        <v>50</v>
      </c>
      <c r="O219" s="3" t="s">
        <v>662</v>
      </c>
      <c r="P219" s="6">
        <v>46147.0</v>
      </c>
      <c r="Q219" s="7" t="s">
        <v>77</v>
      </c>
      <c r="R219" s="4">
        <v>1778.0</v>
      </c>
      <c r="S219" s="3" t="s">
        <v>126</v>
      </c>
      <c r="T219" s="3" t="s">
        <v>54</v>
      </c>
      <c r="U219" s="3" t="s">
        <v>68</v>
      </c>
      <c r="V219" s="3" t="s">
        <v>69</v>
      </c>
      <c r="W219" s="3" t="s">
        <v>70</v>
      </c>
      <c r="X219" s="3" t="s">
        <v>58</v>
      </c>
      <c r="Y219" s="3" t="s">
        <v>59</v>
      </c>
      <c r="Z219" s="4">
        <v>7.0</v>
      </c>
      <c r="AA219" s="3" t="s">
        <v>60</v>
      </c>
      <c r="AB219" s="7">
        <v>116.0</v>
      </c>
      <c r="AC219" s="7">
        <v>0.0</v>
      </c>
      <c r="AD219" s="7">
        <v>116.0</v>
      </c>
      <c r="AE219" s="7">
        <v>80.0</v>
      </c>
      <c r="AF219" s="7">
        <v>0.0</v>
      </c>
      <c r="AG219" s="7">
        <v>80.0</v>
      </c>
      <c r="AH219" s="7">
        <v>8.0</v>
      </c>
      <c r="AI219" s="7">
        <v>0.0</v>
      </c>
      <c r="AJ219" s="7">
        <v>8.0</v>
      </c>
      <c r="AK219" s="7">
        <v>0.0</v>
      </c>
      <c r="AL219" s="7">
        <v>0.0</v>
      </c>
      <c r="AM219" s="7">
        <v>8.0</v>
      </c>
      <c r="AN219" s="8">
        <v>143.0</v>
      </c>
      <c r="AO219" s="4">
        <v>49.65</v>
      </c>
    </row>
    <row r="220">
      <c r="A220" s="3" t="s">
        <v>41</v>
      </c>
      <c r="B220" s="4">
        <v>40296.0</v>
      </c>
      <c r="C220" s="9">
        <v>46026.0</v>
      </c>
      <c r="D220" s="4" t="s">
        <v>43</v>
      </c>
      <c r="E220" s="3" t="s">
        <v>44</v>
      </c>
      <c r="F220" s="4">
        <v>89828.0</v>
      </c>
      <c r="G220" s="3" t="s">
        <v>663</v>
      </c>
      <c r="H220" s="3" t="s">
        <v>664</v>
      </c>
      <c r="I220" s="4">
        <v>9.999477108E9</v>
      </c>
      <c r="J220" s="5">
        <v>46135.41873842593</v>
      </c>
      <c r="K220" s="3" t="s">
        <v>226</v>
      </c>
      <c r="L220" s="3" t="s">
        <v>161</v>
      </c>
      <c r="M220" s="3" t="s">
        <v>162</v>
      </c>
      <c r="N220" s="3" t="s">
        <v>50</v>
      </c>
      <c r="O220" s="3" t="s">
        <v>51</v>
      </c>
      <c r="P220" s="6">
        <v>46027.0</v>
      </c>
      <c r="Q220" s="7" t="s">
        <v>66</v>
      </c>
      <c r="R220" s="4">
        <v>1777.0</v>
      </c>
      <c r="S220" s="3" t="s">
        <v>113</v>
      </c>
      <c r="T220" s="3" t="s">
        <v>54</v>
      </c>
      <c r="U220" s="3" t="s">
        <v>79</v>
      </c>
      <c r="V220" s="3" t="s">
        <v>69</v>
      </c>
      <c r="W220" s="3" t="s">
        <v>70</v>
      </c>
      <c r="X220" s="3" t="s">
        <v>58</v>
      </c>
      <c r="Y220" s="3" t="s">
        <v>59</v>
      </c>
      <c r="Z220" s="4">
        <v>7.0</v>
      </c>
      <c r="AA220" s="3" t="s">
        <v>60</v>
      </c>
      <c r="AB220" s="7">
        <v>84.0</v>
      </c>
      <c r="AC220" s="7">
        <v>0.0</v>
      </c>
      <c r="AD220" s="7">
        <v>84.0</v>
      </c>
      <c r="AE220" s="7">
        <v>50.0</v>
      </c>
      <c r="AF220" s="7">
        <v>0.0</v>
      </c>
      <c r="AG220" s="7">
        <v>50.0</v>
      </c>
      <c r="AH220" s="7">
        <v>8.0</v>
      </c>
      <c r="AI220" s="7">
        <v>0.0</v>
      </c>
      <c r="AJ220" s="7">
        <v>8.0</v>
      </c>
      <c r="AK220" s="7">
        <v>0.0</v>
      </c>
      <c r="AL220" s="7">
        <v>0.0</v>
      </c>
      <c r="AM220" s="7">
        <v>8.0</v>
      </c>
      <c r="AN220" s="8">
        <v>55.0</v>
      </c>
      <c r="AO220" s="4">
        <v>68.75</v>
      </c>
    </row>
    <row r="221">
      <c r="A221" s="3" t="s">
        <v>41</v>
      </c>
      <c r="B221" s="4">
        <v>40272.0</v>
      </c>
      <c r="C221" s="9">
        <v>46026.0</v>
      </c>
      <c r="D221" s="4" t="s">
        <v>43</v>
      </c>
      <c r="E221" s="3" t="s">
        <v>244</v>
      </c>
      <c r="F221" s="4">
        <v>89764.0</v>
      </c>
      <c r="G221" s="3" t="s">
        <v>665</v>
      </c>
      <c r="H221" s="3" t="s">
        <v>666</v>
      </c>
      <c r="I221" s="4">
        <v>9.874942277E9</v>
      </c>
      <c r="J221" s="5">
        <v>46134.53512731481</v>
      </c>
      <c r="K221" s="3" t="s">
        <v>124</v>
      </c>
      <c r="L221" s="3" t="s">
        <v>99</v>
      </c>
      <c r="M221" s="3" t="s">
        <v>100</v>
      </c>
      <c r="N221" s="3" t="s">
        <v>50</v>
      </c>
      <c r="O221" s="3" t="s">
        <v>101</v>
      </c>
      <c r="P221" s="6">
        <v>46239.0</v>
      </c>
      <c r="Q221" s="7" t="s">
        <v>66</v>
      </c>
      <c r="R221" s="4">
        <v>1780.0</v>
      </c>
      <c r="S221" s="3" t="s">
        <v>222</v>
      </c>
      <c r="T221" s="3" t="s">
        <v>54</v>
      </c>
      <c r="U221" s="3" t="s">
        <v>68</v>
      </c>
      <c r="V221" s="3" t="s">
        <v>69</v>
      </c>
      <c r="W221" s="3" t="s">
        <v>70</v>
      </c>
      <c r="X221" s="3" t="s">
        <v>58</v>
      </c>
      <c r="Y221" s="3" t="s">
        <v>59</v>
      </c>
      <c r="Z221" s="4">
        <v>7.0</v>
      </c>
      <c r="AA221" s="3" t="s">
        <v>60</v>
      </c>
      <c r="AB221" s="7">
        <v>110.0</v>
      </c>
      <c r="AC221" s="7">
        <v>0.0</v>
      </c>
      <c r="AD221" s="7">
        <v>110.0</v>
      </c>
      <c r="AE221" s="7">
        <v>65.0</v>
      </c>
      <c r="AF221" s="7">
        <v>0.0</v>
      </c>
      <c r="AG221" s="7">
        <v>65.0</v>
      </c>
      <c r="AH221" s="7">
        <v>6.0</v>
      </c>
      <c r="AI221" s="7">
        <v>0.0</v>
      </c>
      <c r="AJ221" s="7">
        <v>6.0</v>
      </c>
      <c r="AK221" s="7">
        <v>0.0</v>
      </c>
      <c r="AL221" s="7">
        <v>0.0</v>
      </c>
      <c r="AM221" s="7">
        <v>6.0</v>
      </c>
      <c r="AN221" s="8">
        <v>99.0</v>
      </c>
      <c r="AO221" s="4">
        <v>97.06</v>
      </c>
    </row>
    <row r="222">
      <c r="A222" s="3" t="s">
        <v>41</v>
      </c>
      <c r="B222" s="4">
        <v>40254.0</v>
      </c>
      <c r="C222" s="9">
        <v>46026.0</v>
      </c>
      <c r="D222" s="4" t="s">
        <v>43</v>
      </c>
      <c r="E222" s="3" t="s">
        <v>44</v>
      </c>
      <c r="F222" s="4">
        <v>82567.0</v>
      </c>
      <c r="G222" s="3" t="s">
        <v>667</v>
      </c>
      <c r="H222" s="3" t="s">
        <v>668</v>
      </c>
      <c r="I222" s="4">
        <v>9.136036531E9</v>
      </c>
      <c r="J222" s="5">
        <v>45838.5462962963</v>
      </c>
      <c r="K222" s="3" t="s">
        <v>439</v>
      </c>
      <c r="L222" s="3" t="s">
        <v>84</v>
      </c>
      <c r="M222" s="3" t="s">
        <v>64</v>
      </c>
      <c r="N222" s="3" t="s">
        <v>50</v>
      </c>
      <c r="O222" s="3" t="s">
        <v>51</v>
      </c>
      <c r="P222" s="6">
        <v>46147.0</v>
      </c>
      <c r="Q222" s="7" t="s">
        <v>77</v>
      </c>
      <c r="R222" s="4">
        <v>1784.0</v>
      </c>
      <c r="S222" s="3" t="s">
        <v>342</v>
      </c>
      <c r="T222" s="3" t="s">
        <v>54</v>
      </c>
      <c r="U222" s="3" t="s">
        <v>79</v>
      </c>
      <c r="V222" s="3" t="s">
        <v>69</v>
      </c>
      <c r="W222" s="3" t="s">
        <v>70</v>
      </c>
      <c r="X222" s="3" t="s">
        <v>58</v>
      </c>
      <c r="Y222" s="3" t="s">
        <v>59</v>
      </c>
      <c r="Z222" s="4">
        <v>8.0</v>
      </c>
      <c r="AA222" s="3" t="s">
        <v>80</v>
      </c>
      <c r="AB222" s="7">
        <v>248.0</v>
      </c>
      <c r="AC222" s="7">
        <v>0.0</v>
      </c>
      <c r="AD222" s="7">
        <v>248.0</v>
      </c>
      <c r="AE222" s="7">
        <v>138.0</v>
      </c>
      <c r="AF222" s="7">
        <v>0.0</v>
      </c>
      <c r="AG222" s="7">
        <v>138.0</v>
      </c>
      <c r="AH222" s="7">
        <v>8.0</v>
      </c>
      <c r="AI222" s="7">
        <v>0.0</v>
      </c>
      <c r="AJ222" s="7">
        <v>8.0</v>
      </c>
      <c r="AK222" s="7">
        <v>0.0</v>
      </c>
      <c r="AL222" s="7">
        <v>0.0</v>
      </c>
      <c r="AM222" s="7">
        <v>8.0</v>
      </c>
      <c r="AN222" s="8">
        <v>888.0</v>
      </c>
      <c r="AO222" s="4">
        <v>100.0</v>
      </c>
    </row>
    <row r="223">
      <c r="A223" s="3" t="s">
        <v>41</v>
      </c>
      <c r="B223" s="4">
        <v>40315.0</v>
      </c>
      <c r="C223" s="9">
        <v>46026.0</v>
      </c>
      <c r="D223" s="4" t="s">
        <v>43</v>
      </c>
      <c r="E223" s="3" t="s">
        <v>44</v>
      </c>
      <c r="F223" s="4">
        <v>89812.0</v>
      </c>
      <c r="G223" s="3" t="s">
        <v>669</v>
      </c>
      <c r="H223" s="3" t="s">
        <v>670</v>
      </c>
      <c r="I223" s="4">
        <v>9.893175569E9</v>
      </c>
      <c r="J223" s="5">
        <v>46134.7184375</v>
      </c>
      <c r="K223" s="3" t="s">
        <v>124</v>
      </c>
      <c r="L223" s="3" t="s">
        <v>161</v>
      </c>
      <c r="M223" s="3" t="s">
        <v>162</v>
      </c>
      <c r="N223" s="3" t="s">
        <v>50</v>
      </c>
      <c r="O223" s="3" t="s">
        <v>51</v>
      </c>
      <c r="P223" s="6">
        <v>46117.0</v>
      </c>
      <c r="Q223" s="7" t="s">
        <v>125</v>
      </c>
      <c r="R223" s="4">
        <v>1781.0</v>
      </c>
      <c r="S223" s="3" t="s">
        <v>205</v>
      </c>
      <c r="T223" s="3" t="s">
        <v>54</v>
      </c>
      <c r="U223" s="3" t="s">
        <v>68</v>
      </c>
      <c r="V223" s="3" t="s">
        <v>69</v>
      </c>
      <c r="W223" s="3" t="s">
        <v>70</v>
      </c>
      <c r="X223" s="3" t="s">
        <v>58</v>
      </c>
      <c r="Y223" s="3" t="s">
        <v>59</v>
      </c>
      <c r="Z223" s="4">
        <v>7.0</v>
      </c>
      <c r="AA223" s="3" t="s">
        <v>146</v>
      </c>
      <c r="AB223" s="7">
        <v>108.0</v>
      </c>
      <c r="AC223" s="7">
        <v>0.0</v>
      </c>
      <c r="AD223" s="7">
        <v>108.0</v>
      </c>
      <c r="AE223" s="7">
        <v>75.0</v>
      </c>
      <c r="AF223" s="7">
        <v>0.0</v>
      </c>
      <c r="AG223" s="7">
        <v>75.0</v>
      </c>
      <c r="AH223" s="7">
        <v>8.0</v>
      </c>
      <c r="AI223" s="7">
        <v>0.0</v>
      </c>
      <c r="AJ223" s="7">
        <v>8.0</v>
      </c>
      <c r="AK223" s="7">
        <v>0.0</v>
      </c>
      <c r="AL223" s="7">
        <v>0.0</v>
      </c>
      <c r="AM223" s="7">
        <v>8.0</v>
      </c>
      <c r="AN223" s="8">
        <v>150.0</v>
      </c>
      <c r="AO223" s="4">
        <v>98.68</v>
      </c>
    </row>
  </sheetData>
  <autoFilter ref="$A$1:$AO$223"/>
  <mergeCells count="6">
    <mergeCell ref="T111:U111"/>
    <mergeCell ref="T112:U112"/>
    <mergeCell ref="T113:U113"/>
    <mergeCell ref="T114:U114"/>
    <mergeCell ref="T115:U115"/>
    <mergeCell ref="T116:U1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671</v>
      </c>
      <c r="B1" s="14" t="s">
        <v>672</v>
      </c>
    </row>
    <row r="2">
      <c r="A2" s="15">
        <v>11826.0</v>
      </c>
      <c r="B2" s="16">
        <v>351.0</v>
      </c>
      <c r="G2" s="17" t="s">
        <v>5</v>
      </c>
      <c r="H2" s="17" t="s">
        <v>673</v>
      </c>
      <c r="I2" s="17" t="s">
        <v>674</v>
      </c>
    </row>
    <row r="3">
      <c r="A3" s="15">
        <v>13352.0</v>
      </c>
      <c r="B3" s="16">
        <v>92.0</v>
      </c>
      <c r="G3" s="8">
        <v>79440.0</v>
      </c>
      <c r="H3" s="8">
        <v>1.0</v>
      </c>
      <c r="I3" s="8">
        <v>45.0</v>
      </c>
      <c r="J3" s="18">
        <f t="shared" ref="J3:J224" si="1">vlookup(G3,$A$1:$B$183,2,0)</f>
        <v>45</v>
      </c>
      <c r="K3" s="18">
        <f t="shared" ref="K3:K224" si="2">J3-I3</f>
        <v>0</v>
      </c>
    </row>
    <row r="4">
      <c r="A4" s="15">
        <v>19021.0</v>
      </c>
      <c r="B4" s="16">
        <v>48.0</v>
      </c>
      <c r="G4" s="8">
        <v>88329.0</v>
      </c>
      <c r="H4" s="8">
        <v>1.0</v>
      </c>
      <c r="I4" s="8">
        <v>128.0</v>
      </c>
      <c r="J4" s="18">
        <f t="shared" si="1"/>
        <v>128</v>
      </c>
      <c r="K4" s="18">
        <f t="shared" si="2"/>
        <v>0</v>
      </c>
    </row>
    <row r="5">
      <c r="A5" s="15">
        <v>21221.0</v>
      </c>
      <c r="B5" s="16">
        <v>303.0</v>
      </c>
      <c r="G5" s="8">
        <v>79688.0</v>
      </c>
      <c r="H5" s="8">
        <v>1.0</v>
      </c>
      <c r="I5" s="8">
        <v>276.0</v>
      </c>
      <c r="J5" s="18">
        <f t="shared" si="1"/>
        <v>276</v>
      </c>
      <c r="K5" s="18">
        <f t="shared" si="2"/>
        <v>0</v>
      </c>
    </row>
    <row r="6">
      <c r="A6" s="15">
        <v>25910.0</v>
      </c>
      <c r="B6" s="16">
        <v>294.0</v>
      </c>
      <c r="G6" s="8">
        <v>89254.0</v>
      </c>
      <c r="H6" s="8">
        <v>1.0</v>
      </c>
      <c r="I6" s="8">
        <v>46.0</v>
      </c>
      <c r="J6" s="18">
        <f t="shared" si="1"/>
        <v>46</v>
      </c>
      <c r="K6" s="18">
        <f t="shared" si="2"/>
        <v>0</v>
      </c>
    </row>
    <row r="7">
      <c r="A7" s="15">
        <v>27924.0</v>
      </c>
      <c r="B7" s="16">
        <v>143.0</v>
      </c>
      <c r="G7" s="8">
        <v>87441.0</v>
      </c>
      <c r="H7" s="8">
        <v>1.0</v>
      </c>
      <c r="I7" s="8">
        <v>81.0</v>
      </c>
      <c r="J7" s="18">
        <f t="shared" si="1"/>
        <v>81</v>
      </c>
      <c r="K7" s="18">
        <f t="shared" si="2"/>
        <v>0</v>
      </c>
    </row>
    <row r="8">
      <c r="A8" s="15">
        <v>28410.0</v>
      </c>
      <c r="B8" s="16">
        <v>80.0</v>
      </c>
      <c r="G8" s="8">
        <v>87056.0</v>
      </c>
      <c r="H8" s="8">
        <v>1.0</v>
      </c>
      <c r="I8" s="8">
        <v>83.0</v>
      </c>
      <c r="J8" s="18">
        <f t="shared" si="1"/>
        <v>83</v>
      </c>
      <c r="K8" s="18">
        <f t="shared" si="2"/>
        <v>0</v>
      </c>
    </row>
    <row r="9">
      <c r="A9" s="15">
        <v>34531.0</v>
      </c>
      <c r="B9" s="16">
        <v>223.0</v>
      </c>
      <c r="G9" s="8">
        <v>73312.0</v>
      </c>
      <c r="H9" s="8">
        <v>1.0</v>
      </c>
      <c r="I9" s="8">
        <v>205.0</v>
      </c>
      <c r="J9" s="18">
        <f t="shared" si="1"/>
        <v>205</v>
      </c>
      <c r="K9" s="18">
        <f t="shared" si="2"/>
        <v>0</v>
      </c>
    </row>
    <row r="10">
      <c r="A10" s="15">
        <v>40430.0</v>
      </c>
      <c r="B10" s="16">
        <v>96.0</v>
      </c>
      <c r="G10" s="8">
        <v>82162.0</v>
      </c>
      <c r="H10" s="8">
        <v>1.0</v>
      </c>
      <c r="I10" s="8">
        <v>142.0</v>
      </c>
      <c r="J10" s="18">
        <f t="shared" si="1"/>
        <v>142</v>
      </c>
      <c r="K10" s="18">
        <f t="shared" si="2"/>
        <v>0</v>
      </c>
    </row>
    <row r="11">
      <c r="A11" s="15">
        <v>54665.0</v>
      </c>
      <c r="B11" s="16">
        <v>89.0</v>
      </c>
      <c r="G11" s="8">
        <v>82508.0</v>
      </c>
      <c r="H11" s="8">
        <v>1.0</v>
      </c>
      <c r="I11" s="8">
        <v>149.0</v>
      </c>
      <c r="J11" s="18">
        <f t="shared" si="1"/>
        <v>149</v>
      </c>
      <c r="K11" s="18">
        <f t="shared" si="2"/>
        <v>0</v>
      </c>
    </row>
    <row r="12">
      <c r="A12" s="15">
        <v>57790.0</v>
      </c>
      <c r="B12" s="16">
        <v>147.0</v>
      </c>
      <c r="G12" s="8">
        <v>89769.0</v>
      </c>
      <c r="H12" s="8">
        <v>1.0</v>
      </c>
      <c r="I12" s="8">
        <v>70.0</v>
      </c>
      <c r="J12" s="18">
        <f t="shared" si="1"/>
        <v>70</v>
      </c>
      <c r="K12" s="18">
        <f t="shared" si="2"/>
        <v>0</v>
      </c>
    </row>
    <row r="13">
      <c r="A13" s="15">
        <v>58113.0</v>
      </c>
      <c r="B13" s="16">
        <v>209.0</v>
      </c>
      <c r="G13" s="8">
        <v>73451.0</v>
      </c>
      <c r="H13" s="8">
        <v>1.0</v>
      </c>
      <c r="I13" s="8">
        <v>89.0</v>
      </c>
      <c r="J13" s="18">
        <f t="shared" si="1"/>
        <v>89</v>
      </c>
      <c r="K13" s="18">
        <f t="shared" si="2"/>
        <v>0</v>
      </c>
    </row>
    <row r="14">
      <c r="A14" s="15">
        <v>58131.0</v>
      </c>
      <c r="B14" s="16">
        <v>208.0</v>
      </c>
      <c r="G14" s="8">
        <v>89816.0</v>
      </c>
      <c r="H14" s="8">
        <v>1.0</v>
      </c>
      <c r="I14" s="8">
        <v>56.0</v>
      </c>
      <c r="J14" s="18">
        <f t="shared" si="1"/>
        <v>56</v>
      </c>
      <c r="K14" s="18">
        <f t="shared" si="2"/>
        <v>0</v>
      </c>
    </row>
    <row r="15">
      <c r="A15" s="15">
        <v>58158.0</v>
      </c>
      <c r="B15" s="16">
        <v>359.0</v>
      </c>
      <c r="G15" s="8">
        <v>87356.0</v>
      </c>
      <c r="H15" s="8">
        <v>1.0</v>
      </c>
      <c r="I15" s="8">
        <v>238.0</v>
      </c>
      <c r="J15" s="18">
        <f t="shared" si="1"/>
        <v>238</v>
      </c>
      <c r="K15" s="18">
        <f t="shared" si="2"/>
        <v>0</v>
      </c>
    </row>
    <row r="16">
      <c r="A16" s="15">
        <v>59903.0</v>
      </c>
      <c r="B16" s="16">
        <v>519.0</v>
      </c>
      <c r="G16" s="8">
        <v>89976.0</v>
      </c>
      <c r="H16" s="8">
        <v>1.0</v>
      </c>
      <c r="I16" s="8">
        <v>132.0</v>
      </c>
      <c r="J16" s="18">
        <f t="shared" si="1"/>
        <v>132</v>
      </c>
      <c r="K16" s="18">
        <f t="shared" si="2"/>
        <v>0</v>
      </c>
    </row>
    <row r="17">
      <c r="A17" s="15">
        <v>60069.0</v>
      </c>
      <c r="B17" s="16">
        <v>250.0</v>
      </c>
      <c r="G17" s="8">
        <v>89917.0</v>
      </c>
      <c r="H17" s="8">
        <v>1.0</v>
      </c>
      <c r="I17" s="8">
        <v>203.0</v>
      </c>
      <c r="J17" s="18">
        <f t="shared" si="1"/>
        <v>203</v>
      </c>
      <c r="K17" s="18">
        <f t="shared" si="2"/>
        <v>0</v>
      </c>
    </row>
    <row r="18">
      <c r="A18" s="15">
        <v>60667.0</v>
      </c>
      <c r="B18" s="16">
        <v>46.0</v>
      </c>
      <c r="G18" s="8">
        <v>89631.0</v>
      </c>
      <c r="H18" s="8">
        <v>2.0</v>
      </c>
      <c r="I18" s="8">
        <v>210.0</v>
      </c>
      <c r="J18" s="18">
        <f t="shared" si="1"/>
        <v>450</v>
      </c>
      <c r="K18" s="18">
        <f t="shared" si="2"/>
        <v>240</v>
      </c>
    </row>
    <row r="19">
      <c r="A19" s="15">
        <v>61047.0</v>
      </c>
      <c r="B19" s="16">
        <v>255.0</v>
      </c>
      <c r="G19" s="8">
        <v>89631.0</v>
      </c>
      <c r="H19" s="8">
        <v>2.0</v>
      </c>
      <c r="I19" s="8">
        <v>240.0</v>
      </c>
      <c r="J19" s="18">
        <f t="shared" si="1"/>
        <v>450</v>
      </c>
      <c r="K19" s="18">
        <f t="shared" si="2"/>
        <v>210</v>
      </c>
    </row>
    <row r="20">
      <c r="A20" s="15">
        <v>61585.0</v>
      </c>
      <c r="B20" s="16">
        <v>197.0</v>
      </c>
      <c r="G20" s="8">
        <v>82505.0</v>
      </c>
      <c r="H20" s="8">
        <v>1.0</v>
      </c>
      <c r="I20" s="8">
        <v>195.0</v>
      </c>
      <c r="J20" s="18">
        <f t="shared" si="1"/>
        <v>195</v>
      </c>
      <c r="K20" s="18">
        <f t="shared" si="2"/>
        <v>0</v>
      </c>
    </row>
    <row r="21">
      <c r="A21" s="15">
        <v>61941.0</v>
      </c>
      <c r="B21" s="16">
        <v>351.0</v>
      </c>
      <c r="G21" s="8">
        <v>89683.0</v>
      </c>
      <c r="H21" s="8">
        <v>1.0</v>
      </c>
      <c r="I21" s="8">
        <v>110.0</v>
      </c>
      <c r="J21" s="18">
        <f t="shared" si="1"/>
        <v>110</v>
      </c>
      <c r="K21" s="18">
        <f t="shared" si="2"/>
        <v>0</v>
      </c>
    </row>
    <row r="22">
      <c r="A22" s="15">
        <v>62094.0</v>
      </c>
      <c r="B22" s="16">
        <v>232.0</v>
      </c>
      <c r="G22" s="8">
        <v>81202.0</v>
      </c>
      <c r="H22" s="8">
        <v>1.0</v>
      </c>
      <c r="I22" s="8">
        <v>132.0</v>
      </c>
      <c r="J22" s="18">
        <f t="shared" si="1"/>
        <v>132</v>
      </c>
      <c r="K22" s="18">
        <f t="shared" si="2"/>
        <v>0</v>
      </c>
    </row>
    <row r="23">
      <c r="A23" s="15">
        <v>62418.0</v>
      </c>
      <c r="B23" s="16">
        <v>111.0</v>
      </c>
      <c r="G23" s="8">
        <v>84335.0</v>
      </c>
      <c r="H23" s="8">
        <v>1.0</v>
      </c>
      <c r="I23" s="8">
        <v>81.0</v>
      </c>
      <c r="J23" s="18">
        <f t="shared" si="1"/>
        <v>81</v>
      </c>
      <c r="K23" s="18">
        <f t="shared" si="2"/>
        <v>0</v>
      </c>
    </row>
    <row r="24">
      <c r="A24" s="15">
        <v>72221.0</v>
      </c>
      <c r="B24" s="16">
        <v>240.0</v>
      </c>
      <c r="G24" s="8">
        <v>87664.0</v>
      </c>
      <c r="H24" s="8">
        <v>1.0</v>
      </c>
      <c r="I24" s="8">
        <v>272.0</v>
      </c>
      <c r="J24" s="18">
        <f t="shared" si="1"/>
        <v>272</v>
      </c>
      <c r="K24" s="18">
        <f t="shared" si="2"/>
        <v>0</v>
      </c>
    </row>
    <row r="25">
      <c r="A25" s="15">
        <v>72424.0</v>
      </c>
      <c r="B25" s="16">
        <v>224.0</v>
      </c>
      <c r="G25" s="8">
        <v>79417.0</v>
      </c>
      <c r="H25" s="8">
        <v>1.0</v>
      </c>
      <c r="I25" s="8">
        <v>44.0</v>
      </c>
      <c r="J25" s="18">
        <f t="shared" si="1"/>
        <v>44</v>
      </c>
      <c r="K25" s="18">
        <f t="shared" si="2"/>
        <v>0</v>
      </c>
    </row>
    <row r="26">
      <c r="A26" s="15">
        <v>73012.0</v>
      </c>
      <c r="B26" s="16">
        <v>145.0</v>
      </c>
      <c r="G26" s="8">
        <v>13352.0</v>
      </c>
      <c r="H26" s="8">
        <v>1.0</v>
      </c>
      <c r="I26" s="8">
        <v>92.0</v>
      </c>
      <c r="J26" s="18">
        <f t="shared" si="1"/>
        <v>92</v>
      </c>
      <c r="K26" s="18">
        <f t="shared" si="2"/>
        <v>0</v>
      </c>
    </row>
    <row r="27">
      <c r="A27" s="15">
        <v>73312.0</v>
      </c>
      <c r="B27" s="16">
        <v>205.0</v>
      </c>
      <c r="G27" s="8">
        <v>73640.0</v>
      </c>
      <c r="H27" s="8">
        <v>1.0</v>
      </c>
      <c r="I27" s="8">
        <v>169.0</v>
      </c>
      <c r="J27" s="18">
        <f t="shared" si="1"/>
        <v>169</v>
      </c>
      <c r="K27" s="18">
        <f t="shared" si="2"/>
        <v>0</v>
      </c>
    </row>
    <row r="28">
      <c r="A28" s="15">
        <v>73390.0</v>
      </c>
      <c r="B28" s="16">
        <v>400.0</v>
      </c>
      <c r="G28" s="8">
        <v>89777.0</v>
      </c>
      <c r="H28" s="8">
        <v>1.0</v>
      </c>
      <c r="I28" s="8">
        <v>172.0</v>
      </c>
      <c r="J28" s="18">
        <f t="shared" si="1"/>
        <v>172</v>
      </c>
      <c r="K28" s="18">
        <f t="shared" si="2"/>
        <v>0</v>
      </c>
    </row>
    <row r="29">
      <c r="A29" s="15">
        <v>73451.0</v>
      </c>
      <c r="B29" s="16">
        <v>89.0</v>
      </c>
      <c r="G29" s="8">
        <v>73503.0</v>
      </c>
      <c r="H29" s="8">
        <v>1.0</v>
      </c>
      <c r="I29" s="8">
        <v>155.0</v>
      </c>
      <c r="J29" s="18">
        <f t="shared" si="1"/>
        <v>155</v>
      </c>
      <c r="K29" s="18">
        <f t="shared" si="2"/>
        <v>0</v>
      </c>
    </row>
    <row r="30">
      <c r="A30" s="15">
        <v>73503.0</v>
      </c>
      <c r="B30" s="16">
        <v>155.0</v>
      </c>
      <c r="G30" s="8">
        <v>88765.0</v>
      </c>
      <c r="H30" s="8">
        <v>1.0</v>
      </c>
      <c r="I30" s="8">
        <v>152.0</v>
      </c>
      <c r="J30" s="18">
        <f t="shared" si="1"/>
        <v>152</v>
      </c>
      <c r="K30" s="18">
        <f t="shared" si="2"/>
        <v>0</v>
      </c>
    </row>
    <row r="31">
      <c r="A31" s="15">
        <v>73640.0</v>
      </c>
      <c r="B31" s="16">
        <v>169.0</v>
      </c>
      <c r="G31" s="8">
        <v>86746.0</v>
      </c>
      <c r="H31" s="8">
        <v>2.0</v>
      </c>
      <c r="I31" s="8">
        <v>174.0</v>
      </c>
      <c r="J31" s="18">
        <f t="shared" si="1"/>
        <v>378</v>
      </c>
      <c r="K31" s="18">
        <f t="shared" si="2"/>
        <v>204</v>
      </c>
    </row>
    <row r="32">
      <c r="A32" s="15">
        <v>73641.0</v>
      </c>
      <c r="B32" s="16">
        <v>252.0</v>
      </c>
      <c r="G32" s="8">
        <v>86746.0</v>
      </c>
      <c r="H32" s="8">
        <v>2.0</v>
      </c>
      <c r="I32" s="8">
        <v>204.0</v>
      </c>
      <c r="J32" s="18">
        <f t="shared" si="1"/>
        <v>378</v>
      </c>
      <c r="K32" s="18">
        <f t="shared" si="2"/>
        <v>174</v>
      </c>
    </row>
    <row r="33">
      <c r="A33" s="15">
        <v>73642.0</v>
      </c>
      <c r="B33" s="16">
        <v>69.0</v>
      </c>
      <c r="G33" s="8">
        <v>89785.0</v>
      </c>
      <c r="H33" s="8">
        <v>1.0</v>
      </c>
      <c r="I33" s="8">
        <v>93.0</v>
      </c>
      <c r="J33" s="18">
        <f t="shared" si="1"/>
        <v>93</v>
      </c>
      <c r="K33" s="18">
        <f t="shared" si="2"/>
        <v>0</v>
      </c>
    </row>
    <row r="34">
      <c r="A34" s="15">
        <v>73643.0</v>
      </c>
      <c r="B34" s="16">
        <v>0.0</v>
      </c>
      <c r="G34" s="8">
        <v>57790.0</v>
      </c>
      <c r="H34" s="8">
        <v>1.0</v>
      </c>
      <c r="I34" s="8">
        <v>147.0</v>
      </c>
      <c r="J34" s="18">
        <f t="shared" si="1"/>
        <v>147</v>
      </c>
      <c r="K34" s="18">
        <f t="shared" si="2"/>
        <v>0</v>
      </c>
    </row>
    <row r="35">
      <c r="A35" s="15">
        <v>73646.0</v>
      </c>
      <c r="B35" s="16">
        <v>668.0</v>
      </c>
      <c r="G35" s="8">
        <v>89817.0</v>
      </c>
      <c r="H35" s="8">
        <v>1.0</v>
      </c>
      <c r="I35" s="8">
        <v>108.0</v>
      </c>
      <c r="J35" s="18">
        <f t="shared" si="1"/>
        <v>108</v>
      </c>
      <c r="K35" s="18">
        <f t="shared" si="2"/>
        <v>0</v>
      </c>
    </row>
    <row r="36">
      <c r="A36" s="15">
        <v>73647.0</v>
      </c>
      <c r="B36" s="16">
        <v>433.0</v>
      </c>
      <c r="G36" s="8">
        <v>76728.0</v>
      </c>
      <c r="H36" s="8">
        <v>1.0</v>
      </c>
      <c r="I36" s="8">
        <v>67.0</v>
      </c>
      <c r="J36" s="18">
        <f t="shared" si="1"/>
        <v>67</v>
      </c>
      <c r="K36" s="18">
        <f t="shared" si="2"/>
        <v>0</v>
      </c>
    </row>
    <row r="37">
      <c r="A37" s="15">
        <v>73648.0</v>
      </c>
      <c r="B37" s="16">
        <v>254.0</v>
      </c>
      <c r="G37" s="8">
        <v>73390.0</v>
      </c>
      <c r="H37" s="8">
        <v>2.0</v>
      </c>
      <c r="I37" s="8">
        <v>168.0</v>
      </c>
      <c r="J37" s="18">
        <f t="shared" si="1"/>
        <v>400</v>
      </c>
      <c r="K37" s="18">
        <f t="shared" si="2"/>
        <v>232</v>
      </c>
    </row>
    <row r="38">
      <c r="A38" s="15">
        <v>73649.0</v>
      </c>
      <c r="B38" s="16">
        <v>30.0</v>
      </c>
      <c r="G38" s="8">
        <v>73390.0</v>
      </c>
      <c r="H38" s="8">
        <v>2.0</v>
      </c>
      <c r="I38" s="8">
        <v>232.0</v>
      </c>
      <c r="J38" s="18">
        <f t="shared" si="1"/>
        <v>400</v>
      </c>
      <c r="K38" s="18">
        <f t="shared" si="2"/>
        <v>168</v>
      </c>
    </row>
    <row r="39">
      <c r="A39" s="15">
        <v>73650.0</v>
      </c>
      <c r="B39" s="16">
        <v>868.0</v>
      </c>
      <c r="G39" s="8">
        <v>81622.0</v>
      </c>
      <c r="H39" s="8">
        <v>4.0</v>
      </c>
      <c r="I39" s="8">
        <v>240.0</v>
      </c>
      <c r="J39" s="18">
        <f t="shared" si="1"/>
        <v>840</v>
      </c>
      <c r="K39" s="18">
        <f t="shared" si="2"/>
        <v>600</v>
      </c>
    </row>
    <row r="40">
      <c r="A40" s="15">
        <v>73651.0</v>
      </c>
      <c r="B40" s="16">
        <v>771.0</v>
      </c>
      <c r="G40" s="8">
        <v>81622.0</v>
      </c>
      <c r="H40" s="8">
        <v>4.0</v>
      </c>
      <c r="I40" s="8">
        <v>305.0</v>
      </c>
      <c r="J40" s="18">
        <f t="shared" si="1"/>
        <v>840</v>
      </c>
      <c r="K40" s="18">
        <f t="shared" si="2"/>
        <v>535</v>
      </c>
    </row>
    <row r="41">
      <c r="A41" s="15">
        <v>73653.0</v>
      </c>
      <c r="B41" s="16">
        <v>143.0</v>
      </c>
      <c r="G41" s="8">
        <v>81622.0</v>
      </c>
      <c r="H41" s="8">
        <v>4.0</v>
      </c>
      <c r="I41" s="8">
        <v>165.0</v>
      </c>
      <c r="J41" s="18">
        <f t="shared" si="1"/>
        <v>840</v>
      </c>
      <c r="K41" s="18">
        <f t="shared" si="2"/>
        <v>675</v>
      </c>
    </row>
    <row r="42">
      <c r="A42" s="15">
        <v>73654.0</v>
      </c>
      <c r="B42" s="16">
        <v>70.0</v>
      </c>
      <c r="G42" s="8">
        <v>81622.0</v>
      </c>
      <c r="H42" s="8">
        <v>4.0</v>
      </c>
      <c r="I42" s="8">
        <v>130.0</v>
      </c>
      <c r="J42" s="18">
        <f t="shared" si="1"/>
        <v>840</v>
      </c>
      <c r="K42" s="18">
        <f t="shared" si="2"/>
        <v>710</v>
      </c>
    </row>
    <row r="43">
      <c r="A43" s="15">
        <v>73661.0</v>
      </c>
      <c r="B43" s="16">
        <v>93.0</v>
      </c>
      <c r="G43" s="8">
        <v>58131.0</v>
      </c>
      <c r="H43" s="8">
        <v>1.0</v>
      </c>
      <c r="I43" s="8">
        <v>208.0</v>
      </c>
      <c r="J43" s="18">
        <f t="shared" si="1"/>
        <v>208</v>
      </c>
      <c r="K43" s="18">
        <f t="shared" si="2"/>
        <v>0</v>
      </c>
    </row>
    <row r="44">
      <c r="A44" s="15">
        <v>74008.0</v>
      </c>
      <c r="B44" s="16">
        <v>55.0</v>
      </c>
      <c r="G44" s="8">
        <v>73661.0</v>
      </c>
      <c r="H44" s="8">
        <v>1.0</v>
      </c>
      <c r="I44" s="8">
        <v>93.0</v>
      </c>
      <c r="J44" s="18">
        <f t="shared" si="1"/>
        <v>93</v>
      </c>
      <c r="K44" s="18">
        <f t="shared" si="2"/>
        <v>0</v>
      </c>
    </row>
    <row r="45">
      <c r="A45" s="15">
        <v>74030.0</v>
      </c>
      <c r="B45" s="16">
        <v>200.0</v>
      </c>
      <c r="G45" s="8">
        <v>89610.0</v>
      </c>
      <c r="H45" s="8">
        <v>1.0</v>
      </c>
      <c r="I45" s="8">
        <v>56.0</v>
      </c>
      <c r="J45" s="18">
        <f t="shared" si="1"/>
        <v>56</v>
      </c>
      <c r="K45" s="18">
        <f t="shared" si="2"/>
        <v>0</v>
      </c>
    </row>
    <row r="46">
      <c r="A46" s="15">
        <v>74370.0</v>
      </c>
      <c r="B46" s="16">
        <v>171.0</v>
      </c>
      <c r="G46" s="8">
        <v>89773.0</v>
      </c>
      <c r="H46" s="8">
        <v>1.0</v>
      </c>
      <c r="I46" s="8">
        <v>90.0</v>
      </c>
      <c r="J46" s="18">
        <f t="shared" si="1"/>
        <v>90</v>
      </c>
      <c r="K46" s="18">
        <f t="shared" si="2"/>
        <v>0</v>
      </c>
    </row>
    <row r="47">
      <c r="A47" s="15">
        <v>74909.0</v>
      </c>
      <c r="B47" s="16">
        <v>288.0</v>
      </c>
      <c r="G47" s="8">
        <v>11826.0</v>
      </c>
      <c r="H47" s="8">
        <v>2.0</v>
      </c>
      <c r="I47" s="8">
        <v>175.0</v>
      </c>
      <c r="J47" s="18">
        <f t="shared" si="1"/>
        <v>351</v>
      </c>
      <c r="K47" s="18">
        <f t="shared" si="2"/>
        <v>176</v>
      </c>
    </row>
    <row r="48">
      <c r="A48" s="15">
        <v>75059.0</v>
      </c>
      <c r="B48" s="16">
        <v>336.0</v>
      </c>
      <c r="G48" s="8">
        <v>11826.0</v>
      </c>
      <c r="H48" s="8">
        <v>2.0</v>
      </c>
      <c r="I48" s="8">
        <v>176.0</v>
      </c>
      <c r="J48" s="18">
        <f t="shared" si="1"/>
        <v>351</v>
      </c>
      <c r="K48" s="18">
        <f t="shared" si="2"/>
        <v>175</v>
      </c>
    </row>
    <row r="49">
      <c r="A49" s="15">
        <v>75540.0</v>
      </c>
      <c r="B49" s="16">
        <v>234.0</v>
      </c>
      <c r="G49" s="8">
        <v>73012.0</v>
      </c>
      <c r="H49" s="8">
        <v>1.0</v>
      </c>
      <c r="I49" s="8">
        <v>145.0</v>
      </c>
      <c r="J49" s="18">
        <f t="shared" si="1"/>
        <v>145</v>
      </c>
      <c r="K49" s="18">
        <f t="shared" si="2"/>
        <v>0</v>
      </c>
    </row>
    <row r="50">
      <c r="A50" s="15">
        <v>76008.0</v>
      </c>
      <c r="B50" s="16">
        <v>24.0</v>
      </c>
      <c r="G50" s="8">
        <v>76008.0</v>
      </c>
      <c r="H50" s="8">
        <v>1.0</v>
      </c>
      <c r="I50" s="8">
        <v>24.0</v>
      </c>
      <c r="J50" s="18">
        <f t="shared" si="1"/>
        <v>24</v>
      </c>
      <c r="K50" s="18">
        <f t="shared" si="2"/>
        <v>0</v>
      </c>
    </row>
    <row r="51">
      <c r="A51" s="15">
        <v>76163.0</v>
      </c>
      <c r="B51" s="16">
        <v>46.0</v>
      </c>
      <c r="G51" s="8">
        <v>76484.0</v>
      </c>
      <c r="H51" s="8">
        <v>1.0</v>
      </c>
      <c r="I51" s="8">
        <v>88.0</v>
      </c>
      <c r="J51" s="18">
        <f t="shared" si="1"/>
        <v>88</v>
      </c>
      <c r="K51" s="18">
        <f t="shared" si="2"/>
        <v>0</v>
      </c>
    </row>
    <row r="52">
      <c r="A52" s="15">
        <v>76188.0</v>
      </c>
      <c r="B52" s="16">
        <v>324.0</v>
      </c>
      <c r="G52" s="8">
        <v>81798.0</v>
      </c>
      <c r="H52" s="8">
        <v>1.0</v>
      </c>
      <c r="I52" s="8">
        <v>49.0</v>
      </c>
      <c r="J52" s="18">
        <f t="shared" si="1"/>
        <v>49</v>
      </c>
      <c r="K52" s="18">
        <f t="shared" si="2"/>
        <v>0</v>
      </c>
    </row>
    <row r="53">
      <c r="A53" s="15">
        <v>76215.0</v>
      </c>
      <c r="B53" s="16">
        <v>62.0</v>
      </c>
      <c r="G53" s="8">
        <v>89739.0</v>
      </c>
      <c r="H53" s="8">
        <v>1.0</v>
      </c>
      <c r="I53" s="8">
        <v>87.0</v>
      </c>
      <c r="J53" s="18">
        <f t="shared" si="1"/>
        <v>87</v>
      </c>
      <c r="K53" s="18">
        <f t="shared" si="2"/>
        <v>0</v>
      </c>
    </row>
    <row r="54">
      <c r="A54" s="15">
        <v>76484.0</v>
      </c>
      <c r="B54" s="16">
        <v>88.0</v>
      </c>
      <c r="G54" s="8">
        <v>87570.0</v>
      </c>
      <c r="H54" s="8">
        <v>1.0</v>
      </c>
      <c r="I54" s="8">
        <v>173.0</v>
      </c>
      <c r="J54" s="18">
        <f t="shared" si="1"/>
        <v>173</v>
      </c>
      <c r="K54" s="18">
        <f t="shared" si="2"/>
        <v>0</v>
      </c>
    </row>
    <row r="55">
      <c r="A55" s="15">
        <v>76520.0</v>
      </c>
      <c r="B55" s="16">
        <v>288.0</v>
      </c>
      <c r="G55" s="8">
        <v>81637.0</v>
      </c>
      <c r="H55" s="8">
        <v>1.0</v>
      </c>
      <c r="I55" s="8">
        <v>133.0</v>
      </c>
      <c r="J55" s="18">
        <f t="shared" si="1"/>
        <v>133</v>
      </c>
      <c r="K55" s="18">
        <f t="shared" si="2"/>
        <v>0</v>
      </c>
    </row>
    <row r="56">
      <c r="A56" s="15">
        <v>76584.0</v>
      </c>
      <c r="B56" s="16">
        <v>330.0</v>
      </c>
      <c r="G56" s="8">
        <v>83813.0</v>
      </c>
      <c r="H56" s="8">
        <v>1.0</v>
      </c>
      <c r="I56" s="8">
        <v>145.0</v>
      </c>
      <c r="J56" s="18">
        <f t="shared" si="1"/>
        <v>145</v>
      </c>
      <c r="K56" s="18">
        <f t="shared" si="2"/>
        <v>0</v>
      </c>
    </row>
    <row r="57">
      <c r="A57" s="15">
        <v>76728.0</v>
      </c>
      <c r="B57" s="16">
        <v>67.0</v>
      </c>
      <c r="G57" s="8">
        <v>89611.0</v>
      </c>
      <c r="H57" s="8">
        <v>1.0</v>
      </c>
      <c r="I57" s="8">
        <v>137.0</v>
      </c>
      <c r="J57" s="18">
        <f t="shared" si="1"/>
        <v>137</v>
      </c>
      <c r="K57" s="18">
        <f t="shared" si="2"/>
        <v>0</v>
      </c>
    </row>
    <row r="58">
      <c r="A58" s="15">
        <v>76999.0</v>
      </c>
      <c r="B58" s="16">
        <v>609.0</v>
      </c>
      <c r="G58" s="8">
        <v>73651.0</v>
      </c>
      <c r="H58" s="8">
        <v>4.0</v>
      </c>
      <c r="I58" s="8">
        <v>209.0</v>
      </c>
      <c r="J58" s="18">
        <f t="shared" si="1"/>
        <v>771</v>
      </c>
      <c r="K58" s="18">
        <f t="shared" si="2"/>
        <v>562</v>
      </c>
    </row>
    <row r="59">
      <c r="A59" s="15">
        <v>77174.0</v>
      </c>
      <c r="B59" s="16">
        <v>152.0</v>
      </c>
      <c r="G59" s="8">
        <v>73651.0</v>
      </c>
      <c r="H59" s="8">
        <v>4.0</v>
      </c>
      <c r="I59" s="8">
        <v>240.0</v>
      </c>
      <c r="J59" s="18">
        <f t="shared" si="1"/>
        <v>771</v>
      </c>
      <c r="K59" s="18">
        <f t="shared" si="2"/>
        <v>531</v>
      </c>
    </row>
    <row r="60">
      <c r="A60" s="15">
        <v>77360.0</v>
      </c>
      <c r="B60" s="16">
        <v>351.0</v>
      </c>
      <c r="G60" s="8">
        <v>73651.0</v>
      </c>
      <c r="H60" s="8">
        <v>4.0</v>
      </c>
      <c r="I60" s="8">
        <v>84.0</v>
      </c>
      <c r="J60" s="18">
        <f t="shared" si="1"/>
        <v>771</v>
      </c>
      <c r="K60" s="18">
        <f t="shared" si="2"/>
        <v>687</v>
      </c>
    </row>
    <row r="61">
      <c r="A61" s="15">
        <v>78072.0</v>
      </c>
      <c r="B61" s="16">
        <v>200.0</v>
      </c>
      <c r="G61" s="8">
        <v>73651.0</v>
      </c>
      <c r="H61" s="8">
        <v>4.0</v>
      </c>
      <c r="I61" s="8">
        <v>238.0</v>
      </c>
      <c r="J61" s="18">
        <f t="shared" si="1"/>
        <v>771</v>
      </c>
      <c r="K61" s="18">
        <f t="shared" si="2"/>
        <v>533</v>
      </c>
    </row>
    <row r="62">
      <c r="A62" s="15">
        <v>78237.0</v>
      </c>
      <c r="B62" s="16">
        <v>367.0</v>
      </c>
      <c r="G62" s="8">
        <v>73649.0</v>
      </c>
      <c r="H62" s="8">
        <v>1.0</v>
      </c>
      <c r="I62" s="8">
        <v>30.0</v>
      </c>
      <c r="J62" s="18">
        <f t="shared" si="1"/>
        <v>30</v>
      </c>
      <c r="K62" s="18">
        <f t="shared" si="2"/>
        <v>0</v>
      </c>
    </row>
    <row r="63">
      <c r="A63" s="15">
        <v>78552.0</v>
      </c>
      <c r="B63" s="16">
        <v>271.0</v>
      </c>
      <c r="G63" s="8">
        <v>19021.0</v>
      </c>
      <c r="H63" s="8">
        <v>2.0</v>
      </c>
      <c r="I63" s="8">
        <v>28.0</v>
      </c>
      <c r="J63" s="18">
        <f t="shared" si="1"/>
        <v>48</v>
      </c>
      <c r="K63" s="18">
        <f t="shared" si="2"/>
        <v>20</v>
      </c>
    </row>
    <row r="64">
      <c r="A64" s="15">
        <v>78968.0</v>
      </c>
      <c r="B64" s="16">
        <v>101.0</v>
      </c>
      <c r="G64" s="8">
        <v>19021.0</v>
      </c>
      <c r="H64" s="8">
        <v>2.0</v>
      </c>
      <c r="I64" s="8">
        <v>20.0</v>
      </c>
      <c r="J64" s="18">
        <f t="shared" si="1"/>
        <v>48</v>
      </c>
      <c r="K64" s="18">
        <f t="shared" si="2"/>
        <v>28</v>
      </c>
    </row>
    <row r="65">
      <c r="A65" s="15">
        <v>79138.0</v>
      </c>
      <c r="B65" s="16">
        <v>55.0</v>
      </c>
      <c r="G65" s="8">
        <v>89801.0</v>
      </c>
      <c r="H65" s="8">
        <v>1.0</v>
      </c>
      <c r="I65" s="8">
        <v>44.0</v>
      </c>
      <c r="J65" s="18">
        <f t="shared" si="1"/>
        <v>44</v>
      </c>
      <c r="K65" s="18">
        <f t="shared" si="2"/>
        <v>0</v>
      </c>
    </row>
    <row r="66">
      <c r="A66" s="15">
        <v>79257.0</v>
      </c>
      <c r="B66" s="16">
        <v>199.0</v>
      </c>
      <c r="G66" s="8">
        <v>89809.0</v>
      </c>
      <c r="H66" s="8">
        <v>1.0</v>
      </c>
      <c r="I66" s="8">
        <v>200.0</v>
      </c>
      <c r="J66" s="18">
        <f t="shared" si="1"/>
        <v>200</v>
      </c>
      <c r="K66" s="18">
        <f t="shared" si="2"/>
        <v>0</v>
      </c>
    </row>
    <row r="67">
      <c r="A67" s="15">
        <v>79417.0</v>
      </c>
      <c r="B67" s="16">
        <v>44.0</v>
      </c>
      <c r="G67" s="8">
        <v>76584.0</v>
      </c>
      <c r="H67" s="8">
        <v>2.0</v>
      </c>
      <c r="I67" s="8">
        <v>175.0</v>
      </c>
      <c r="J67" s="18">
        <f t="shared" si="1"/>
        <v>330</v>
      </c>
      <c r="K67" s="18">
        <f t="shared" si="2"/>
        <v>155</v>
      </c>
    </row>
    <row r="68">
      <c r="A68" s="15">
        <v>79440.0</v>
      </c>
      <c r="B68" s="16">
        <v>45.0</v>
      </c>
      <c r="G68" s="8">
        <v>76584.0</v>
      </c>
      <c r="H68" s="8">
        <v>2.0</v>
      </c>
      <c r="I68" s="8">
        <v>155.0</v>
      </c>
      <c r="J68" s="18">
        <f t="shared" si="1"/>
        <v>330</v>
      </c>
      <c r="K68" s="18">
        <f t="shared" si="2"/>
        <v>175</v>
      </c>
    </row>
    <row r="69">
      <c r="A69" s="15">
        <v>79536.0</v>
      </c>
      <c r="B69" s="16">
        <v>51.0</v>
      </c>
      <c r="G69" s="8">
        <v>76163.0</v>
      </c>
      <c r="H69" s="8">
        <v>1.0</v>
      </c>
      <c r="I69" s="8">
        <v>46.0</v>
      </c>
      <c r="J69" s="18">
        <f t="shared" si="1"/>
        <v>46</v>
      </c>
      <c r="K69" s="18">
        <f t="shared" si="2"/>
        <v>0</v>
      </c>
    </row>
    <row r="70">
      <c r="A70" s="15">
        <v>79567.0</v>
      </c>
      <c r="B70" s="16">
        <v>33.0</v>
      </c>
      <c r="G70" s="8">
        <v>79257.0</v>
      </c>
      <c r="H70" s="8">
        <v>2.0</v>
      </c>
      <c r="I70" s="8">
        <v>96.0</v>
      </c>
      <c r="J70" s="18">
        <f t="shared" si="1"/>
        <v>199</v>
      </c>
      <c r="K70" s="18">
        <f t="shared" si="2"/>
        <v>103</v>
      </c>
    </row>
    <row r="71">
      <c r="A71" s="15">
        <v>79688.0</v>
      </c>
      <c r="B71" s="16">
        <v>276.0</v>
      </c>
      <c r="G71" s="8">
        <v>79257.0</v>
      </c>
      <c r="H71" s="8">
        <v>2.0</v>
      </c>
      <c r="I71" s="8">
        <v>103.0</v>
      </c>
      <c r="J71" s="18">
        <f t="shared" si="1"/>
        <v>199</v>
      </c>
      <c r="K71" s="18">
        <f t="shared" si="2"/>
        <v>96</v>
      </c>
    </row>
    <row r="72">
      <c r="A72" s="15">
        <v>79695.0</v>
      </c>
      <c r="B72" s="16">
        <v>99.0</v>
      </c>
      <c r="G72" s="8">
        <v>76188.0</v>
      </c>
      <c r="H72" s="8">
        <v>3.0</v>
      </c>
      <c r="I72" s="8">
        <v>68.0</v>
      </c>
      <c r="J72" s="18">
        <f t="shared" si="1"/>
        <v>324</v>
      </c>
      <c r="K72" s="18">
        <f t="shared" si="2"/>
        <v>256</v>
      </c>
    </row>
    <row r="73">
      <c r="A73" s="15">
        <v>80569.0</v>
      </c>
      <c r="B73" s="16">
        <v>166.0</v>
      </c>
      <c r="G73" s="8">
        <v>76188.0</v>
      </c>
      <c r="H73" s="8">
        <v>3.0</v>
      </c>
      <c r="I73" s="8">
        <v>108.0</v>
      </c>
      <c r="J73" s="18">
        <f t="shared" si="1"/>
        <v>324</v>
      </c>
      <c r="K73" s="18">
        <f t="shared" si="2"/>
        <v>216</v>
      </c>
    </row>
    <row r="74">
      <c r="A74" s="15">
        <v>81190.0</v>
      </c>
      <c r="B74" s="16">
        <v>108.0</v>
      </c>
      <c r="G74" s="8">
        <v>76188.0</v>
      </c>
      <c r="H74" s="8">
        <v>3.0</v>
      </c>
      <c r="I74" s="8">
        <v>148.0</v>
      </c>
      <c r="J74" s="18">
        <f t="shared" si="1"/>
        <v>324</v>
      </c>
      <c r="K74" s="18">
        <f t="shared" si="2"/>
        <v>176</v>
      </c>
    </row>
    <row r="75">
      <c r="A75" s="15">
        <v>81202.0</v>
      </c>
      <c r="B75" s="16">
        <v>132.0</v>
      </c>
      <c r="G75" s="8">
        <v>88460.0</v>
      </c>
      <c r="H75" s="8">
        <v>1.0</v>
      </c>
      <c r="I75" s="8">
        <v>54.0</v>
      </c>
      <c r="J75" s="18">
        <f t="shared" si="1"/>
        <v>54</v>
      </c>
      <c r="K75" s="18">
        <f t="shared" si="2"/>
        <v>0</v>
      </c>
    </row>
    <row r="76">
      <c r="A76" s="15">
        <v>81255.0</v>
      </c>
      <c r="B76" s="16">
        <v>174.0</v>
      </c>
      <c r="G76" s="8">
        <v>78968.0</v>
      </c>
      <c r="H76" s="8">
        <v>1.0</v>
      </c>
      <c r="I76" s="8">
        <v>101.0</v>
      </c>
      <c r="J76" s="18">
        <f t="shared" si="1"/>
        <v>101</v>
      </c>
      <c r="K76" s="18">
        <f t="shared" si="2"/>
        <v>0</v>
      </c>
    </row>
    <row r="77">
      <c r="A77" s="15">
        <v>81622.0</v>
      </c>
      <c r="B77" s="16">
        <v>840.0</v>
      </c>
      <c r="G77" s="8">
        <v>88559.0</v>
      </c>
      <c r="H77" s="8">
        <v>1.0</v>
      </c>
      <c r="I77" s="8">
        <v>39.0</v>
      </c>
      <c r="J77" s="18">
        <f t="shared" si="1"/>
        <v>39</v>
      </c>
      <c r="K77" s="18">
        <f t="shared" si="2"/>
        <v>0</v>
      </c>
    </row>
    <row r="78">
      <c r="A78" s="15">
        <v>81637.0</v>
      </c>
      <c r="B78" s="16">
        <v>133.0</v>
      </c>
      <c r="G78" s="8">
        <v>89728.0</v>
      </c>
      <c r="H78" s="8">
        <v>1.0</v>
      </c>
      <c r="I78" s="8">
        <v>256.0</v>
      </c>
      <c r="J78" s="18">
        <f t="shared" si="1"/>
        <v>256</v>
      </c>
      <c r="K78" s="18">
        <f t="shared" si="2"/>
        <v>0</v>
      </c>
    </row>
    <row r="79">
      <c r="A79" s="15">
        <v>81798.0</v>
      </c>
      <c r="B79" s="16">
        <v>49.0</v>
      </c>
      <c r="G79" s="8">
        <v>89753.0</v>
      </c>
      <c r="H79" s="8">
        <v>1.0</v>
      </c>
      <c r="I79" s="8">
        <v>192.0</v>
      </c>
      <c r="J79" s="18">
        <f t="shared" si="1"/>
        <v>192</v>
      </c>
      <c r="K79" s="18">
        <f t="shared" si="2"/>
        <v>0</v>
      </c>
    </row>
    <row r="80">
      <c r="A80" s="15">
        <v>82040.0</v>
      </c>
      <c r="B80" s="16">
        <v>82.0</v>
      </c>
      <c r="G80" s="8">
        <v>87290.0</v>
      </c>
      <c r="H80" s="8">
        <v>1.0</v>
      </c>
      <c r="I80" s="8">
        <v>119.0</v>
      </c>
      <c r="J80" s="18">
        <f t="shared" si="1"/>
        <v>119</v>
      </c>
      <c r="K80" s="18">
        <f t="shared" si="2"/>
        <v>0</v>
      </c>
    </row>
    <row r="81">
      <c r="A81" s="15">
        <v>82162.0</v>
      </c>
      <c r="B81" s="16">
        <v>142.0</v>
      </c>
      <c r="G81" s="8">
        <v>40430.0</v>
      </c>
      <c r="H81" s="8">
        <v>1.0</v>
      </c>
      <c r="I81" s="8">
        <v>96.0</v>
      </c>
      <c r="J81" s="18">
        <f t="shared" si="1"/>
        <v>96</v>
      </c>
      <c r="K81" s="18">
        <f t="shared" si="2"/>
        <v>0</v>
      </c>
    </row>
    <row r="82">
      <c r="A82" s="15">
        <v>82309.0</v>
      </c>
      <c r="B82" s="16">
        <v>134.0</v>
      </c>
      <c r="G82" s="8">
        <v>72424.0</v>
      </c>
      <c r="H82" s="8">
        <v>1.0</v>
      </c>
      <c r="I82" s="8">
        <v>224.0</v>
      </c>
      <c r="J82" s="18">
        <f t="shared" si="1"/>
        <v>224</v>
      </c>
      <c r="K82" s="18">
        <f t="shared" si="2"/>
        <v>0</v>
      </c>
    </row>
    <row r="83">
      <c r="A83" s="15">
        <v>82505.0</v>
      </c>
      <c r="B83" s="16">
        <v>195.0</v>
      </c>
      <c r="G83" s="8">
        <v>28410.0</v>
      </c>
      <c r="H83" s="8">
        <v>1.0</v>
      </c>
      <c r="I83" s="8">
        <v>80.0</v>
      </c>
      <c r="J83" s="18">
        <f t="shared" si="1"/>
        <v>80</v>
      </c>
      <c r="K83" s="18">
        <f t="shared" si="2"/>
        <v>0</v>
      </c>
    </row>
    <row r="84">
      <c r="A84" s="15">
        <v>82508.0</v>
      </c>
      <c r="B84" s="16">
        <v>149.0</v>
      </c>
      <c r="G84" s="8">
        <v>89014.0</v>
      </c>
      <c r="H84" s="8">
        <v>1.0</v>
      </c>
      <c r="I84" s="8">
        <v>72.0</v>
      </c>
      <c r="J84" s="18">
        <f t="shared" si="1"/>
        <v>72</v>
      </c>
      <c r="K84" s="18">
        <f t="shared" si="2"/>
        <v>0</v>
      </c>
    </row>
    <row r="85">
      <c r="A85" s="15">
        <v>82527.0</v>
      </c>
      <c r="B85" s="16">
        <v>244.0</v>
      </c>
      <c r="G85" s="8">
        <v>60069.0</v>
      </c>
      <c r="H85" s="8">
        <v>2.0</v>
      </c>
      <c r="I85" s="8">
        <v>174.0</v>
      </c>
      <c r="J85" s="18">
        <f t="shared" si="1"/>
        <v>250</v>
      </c>
      <c r="K85" s="18">
        <f t="shared" si="2"/>
        <v>76</v>
      </c>
    </row>
    <row r="86">
      <c r="A86" s="15">
        <v>82567.0</v>
      </c>
      <c r="B86" s="16">
        <v>888.0</v>
      </c>
      <c r="G86" s="8">
        <v>60069.0</v>
      </c>
      <c r="H86" s="8">
        <v>2.0</v>
      </c>
      <c r="I86" s="8">
        <v>76.0</v>
      </c>
      <c r="J86" s="18">
        <f t="shared" si="1"/>
        <v>250</v>
      </c>
      <c r="K86" s="18">
        <f t="shared" si="2"/>
        <v>174</v>
      </c>
    </row>
    <row r="87">
      <c r="A87" s="15">
        <v>83107.0</v>
      </c>
      <c r="B87" s="16">
        <v>354.0</v>
      </c>
      <c r="G87" s="8">
        <v>89849.0</v>
      </c>
      <c r="H87" s="8">
        <v>1.0</v>
      </c>
      <c r="I87" s="8">
        <v>88.0</v>
      </c>
      <c r="J87" s="18">
        <f t="shared" si="1"/>
        <v>88</v>
      </c>
      <c r="K87" s="18">
        <f t="shared" si="2"/>
        <v>0</v>
      </c>
    </row>
    <row r="88">
      <c r="A88" s="15">
        <v>83440.0</v>
      </c>
      <c r="B88" s="16">
        <v>28.0</v>
      </c>
      <c r="G88" s="8">
        <v>89774.0</v>
      </c>
      <c r="H88" s="8">
        <v>1.0</v>
      </c>
      <c r="I88" s="8">
        <v>124.0</v>
      </c>
      <c r="J88" s="18">
        <f t="shared" si="1"/>
        <v>124</v>
      </c>
      <c r="K88" s="18">
        <f t="shared" si="2"/>
        <v>0</v>
      </c>
    </row>
    <row r="89">
      <c r="A89" s="15">
        <v>83813.0</v>
      </c>
      <c r="B89" s="16">
        <v>145.0</v>
      </c>
      <c r="G89" s="8">
        <v>89451.0</v>
      </c>
      <c r="H89" s="8">
        <v>1.0</v>
      </c>
      <c r="I89" s="8">
        <v>32.0</v>
      </c>
      <c r="J89" s="18">
        <f t="shared" si="1"/>
        <v>32</v>
      </c>
      <c r="K89" s="18">
        <f t="shared" si="2"/>
        <v>0</v>
      </c>
    </row>
    <row r="90">
      <c r="A90" s="15">
        <v>84335.0</v>
      </c>
      <c r="B90" s="16">
        <v>81.0</v>
      </c>
      <c r="G90" s="8">
        <v>76520.0</v>
      </c>
      <c r="H90" s="8">
        <v>1.0</v>
      </c>
      <c r="I90" s="8">
        <v>288.0</v>
      </c>
      <c r="J90" s="18">
        <f t="shared" si="1"/>
        <v>288</v>
      </c>
      <c r="K90" s="18">
        <f t="shared" si="2"/>
        <v>0</v>
      </c>
    </row>
    <row r="91">
      <c r="A91" s="15">
        <v>84709.0</v>
      </c>
      <c r="B91" s="16">
        <v>172.0</v>
      </c>
      <c r="G91" s="8">
        <v>85118.0</v>
      </c>
      <c r="H91" s="8">
        <v>1.0</v>
      </c>
      <c r="I91" s="8">
        <v>110.0</v>
      </c>
      <c r="J91" s="18">
        <f t="shared" si="1"/>
        <v>110</v>
      </c>
      <c r="K91" s="18">
        <f t="shared" si="2"/>
        <v>0</v>
      </c>
    </row>
    <row r="92">
      <c r="A92" s="15">
        <v>85087.0</v>
      </c>
      <c r="B92" s="16">
        <v>63.0</v>
      </c>
      <c r="G92" s="8">
        <v>89778.0</v>
      </c>
      <c r="H92" s="8">
        <v>1.0</v>
      </c>
      <c r="I92" s="8">
        <v>138.0</v>
      </c>
      <c r="J92" s="18">
        <f t="shared" si="1"/>
        <v>138</v>
      </c>
      <c r="K92" s="18">
        <f t="shared" si="2"/>
        <v>0</v>
      </c>
    </row>
    <row r="93">
      <c r="A93" s="15">
        <v>85118.0</v>
      </c>
      <c r="B93" s="16">
        <v>110.0</v>
      </c>
      <c r="G93" s="8">
        <v>89744.0</v>
      </c>
      <c r="H93" s="8">
        <v>1.0</v>
      </c>
      <c r="I93" s="8">
        <v>163.0</v>
      </c>
      <c r="J93" s="18">
        <f t="shared" si="1"/>
        <v>163</v>
      </c>
      <c r="K93" s="18">
        <f t="shared" si="2"/>
        <v>0</v>
      </c>
    </row>
    <row r="94">
      <c r="A94" s="15">
        <v>86045.0</v>
      </c>
      <c r="B94" s="16">
        <v>140.0</v>
      </c>
      <c r="G94" s="8">
        <v>89719.0</v>
      </c>
      <c r="H94" s="8">
        <v>1.0</v>
      </c>
      <c r="I94" s="8">
        <v>80.0</v>
      </c>
      <c r="J94" s="18">
        <f t="shared" si="1"/>
        <v>80</v>
      </c>
      <c r="K94" s="18">
        <f t="shared" si="2"/>
        <v>0</v>
      </c>
    </row>
    <row r="95">
      <c r="A95" s="15">
        <v>86198.0</v>
      </c>
      <c r="B95" s="16">
        <v>119.0</v>
      </c>
      <c r="G95" s="8">
        <v>62094.0</v>
      </c>
      <c r="H95" s="8">
        <v>1.0</v>
      </c>
      <c r="I95" s="8">
        <v>232.0</v>
      </c>
      <c r="J95" s="18">
        <f t="shared" si="1"/>
        <v>232</v>
      </c>
      <c r="K95" s="18">
        <f t="shared" si="2"/>
        <v>0</v>
      </c>
    </row>
    <row r="96">
      <c r="A96" s="15">
        <v>86746.0</v>
      </c>
      <c r="B96" s="16">
        <v>378.0</v>
      </c>
      <c r="G96" s="8">
        <v>89802.0</v>
      </c>
      <c r="H96" s="8">
        <v>1.0</v>
      </c>
      <c r="I96" s="8">
        <v>76.0</v>
      </c>
      <c r="J96" s="18">
        <f t="shared" si="1"/>
        <v>76</v>
      </c>
      <c r="K96" s="18">
        <f t="shared" si="2"/>
        <v>0</v>
      </c>
    </row>
    <row r="97">
      <c r="A97" s="15">
        <v>86865.0</v>
      </c>
      <c r="B97" s="16">
        <v>144.0</v>
      </c>
      <c r="G97" s="8">
        <v>89874.0</v>
      </c>
      <c r="H97" s="8">
        <v>1.0</v>
      </c>
      <c r="I97" s="8">
        <v>107.0</v>
      </c>
      <c r="J97" s="18">
        <f t="shared" si="1"/>
        <v>107</v>
      </c>
      <c r="K97" s="18">
        <f t="shared" si="2"/>
        <v>0</v>
      </c>
    </row>
    <row r="98">
      <c r="A98" s="15">
        <v>87056.0</v>
      </c>
      <c r="B98" s="16">
        <v>83.0</v>
      </c>
      <c r="G98" s="8">
        <v>85087.0</v>
      </c>
      <c r="H98" s="8">
        <v>1.0</v>
      </c>
      <c r="I98" s="8">
        <v>63.0</v>
      </c>
      <c r="J98" s="18">
        <f t="shared" si="1"/>
        <v>63</v>
      </c>
      <c r="K98" s="18">
        <f t="shared" si="2"/>
        <v>0</v>
      </c>
    </row>
    <row r="99">
      <c r="A99" s="15">
        <v>87290.0</v>
      </c>
      <c r="B99" s="16">
        <v>119.0</v>
      </c>
      <c r="G99" s="8">
        <v>89811.0</v>
      </c>
      <c r="H99" s="8">
        <v>1.0</v>
      </c>
      <c r="I99" s="8">
        <v>85.0</v>
      </c>
      <c r="J99" s="18">
        <f t="shared" si="1"/>
        <v>85</v>
      </c>
      <c r="K99" s="18">
        <f t="shared" si="2"/>
        <v>0</v>
      </c>
    </row>
    <row r="100">
      <c r="A100" s="15">
        <v>87331.0</v>
      </c>
      <c r="B100" s="16">
        <v>136.0</v>
      </c>
      <c r="G100" s="8">
        <v>74008.0</v>
      </c>
      <c r="H100" s="8">
        <v>1.0</v>
      </c>
      <c r="I100" s="8">
        <v>55.0</v>
      </c>
      <c r="J100" s="18">
        <f t="shared" si="1"/>
        <v>55</v>
      </c>
      <c r="K100" s="18">
        <f t="shared" si="2"/>
        <v>0</v>
      </c>
    </row>
    <row r="101">
      <c r="A101" s="15">
        <v>87356.0</v>
      </c>
      <c r="B101" s="16">
        <v>238.0</v>
      </c>
      <c r="G101" s="8">
        <v>89378.0</v>
      </c>
      <c r="H101" s="8">
        <v>1.0</v>
      </c>
      <c r="I101" s="8">
        <v>54.0</v>
      </c>
      <c r="J101" s="18">
        <f t="shared" si="1"/>
        <v>54</v>
      </c>
      <c r="K101" s="18">
        <f t="shared" si="2"/>
        <v>0</v>
      </c>
    </row>
    <row r="102">
      <c r="A102" s="15">
        <v>87441.0</v>
      </c>
      <c r="B102" s="16">
        <v>81.0</v>
      </c>
      <c r="G102" s="8">
        <v>82309.0</v>
      </c>
      <c r="H102" s="8">
        <v>1.0</v>
      </c>
      <c r="I102" s="8">
        <v>134.0</v>
      </c>
      <c r="J102" s="18">
        <f t="shared" si="1"/>
        <v>134</v>
      </c>
      <c r="K102" s="18">
        <f t="shared" si="2"/>
        <v>0</v>
      </c>
    </row>
    <row r="103">
      <c r="A103" s="15">
        <v>87570.0</v>
      </c>
      <c r="B103" s="16">
        <v>173.0</v>
      </c>
      <c r="G103" s="8">
        <v>89727.0</v>
      </c>
      <c r="H103" s="8">
        <v>1.0</v>
      </c>
      <c r="I103" s="8">
        <v>47.0</v>
      </c>
      <c r="J103" s="18">
        <f t="shared" si="1"/>
        <v>47</v>
      </c>
      <c r="K103" s="18">
        <f t="shared" si="2"/>
        <v>0</v>
      </c>
    </row>
    <row r="104">
      <c r="A104" s="15">
        <v>87598.0</v>
      </c>
      <c r="B104" s="16">
        <v>192.0</v>
      </c>
      <c r="G104" s="8">
        <v>74030.0</v>
      </c>
      <c r="H104" s="8">
        <v>1.0</v>
      </c>
      <c r="I104" s="8">
        <v>200.0</v>
      </c>
      <c r="J104" s="18">
        <f t="shared" si="1"/>
        <v>200</v>
      </c>
      <c r="K104" s="18">
        <f t="shared" si="2"/>
        <v>0</v>
      </c>
    </row>
    <row r="105">
      <c r="A105" s="15">
        <v>87664.0</v>
      </c>
      <c r="B105" s="16">
        <v>272.0</v>
      </c>
      <c r="G105" s="8">
        <v>89798.0</v>
      </c>
      <c r="H105" s="8">
        <v>1.0</v>
      </c>
      <c r="I105" s="8">
        <v>63.0</v>
      </c>
      <c r="J105" s="18">
        <f t="shared" si="1"/>
        <v>63</v>
      </c>
      <c r="K105" s="18">
        <f t="shared" si="2"/>
        <v>0</v>
      </c>
    </row>
    <row r="106">
      <c r="A106" s="15">
        <v>88066.0</v>
      </c>
      <c r="B106" s="16">
        <v>121.0</v>
      </c>
      <c r="G106" s="8">
        <v>86198.0</v>
      </c>
      <c r="H106" s="8">
        <v>1.0</v>
      </c>
      <c r="I106" s="8">
        <v>119.0</v>
      </c>
      <c r="J106" s="18">
        <f t="shared" si="1"/>
        <v>119</v>
      </c>
      <c r="K106" s="18">
        <f t="shared" si="2"/>
        <v>0</v>
      </c>
    </row>
    <row r="107">
      <c r="A107" s="15">
        <v>88329.0</v>
      </c>
      <c r="B107" s="16">
        <v>128.0</v>
      </c>
      <c r="G107" s="8">
        <v>88681.0</v>
      </c>
      <c r="H107" s="8">
        <v>1.0</v>
      </c>
      <c r="I107" s="8">
        <v>80.0</v>
      </c>
      <c r="J107" s="18">
        <f t="shared" si="1"/>
        <v>80</v>
      </c>
      <c r="K107" s="18">
        <f t="shared" si="2"/>
        <v>0</v>
      </c>
    </row>
    <row r="108">
      <c r="A108" s="15">
        <v>88460.0</v>
      </c>
      <c r="B108" s="16">
        <v>54.0</v>
      </c>
      <c r="G108" s="8">
        <v>89735.0</v>
      </c>
      <c r="H108" s="8">
        <v>1.0</v>
      </c>
      <c r="I108" s="8">
        <v>148.0</v>
      </c>
      <c r="J108" s="18">
        <f t="shared" si="1"/>
        <v>148</v>
      </c>
      <c r="K108" s="18">
        <f t="shared" si="2"/>
        <v>0</v>
      </c>
    </row>
    <row r="109">
      <c r="A109" s="15">
        <v>88559.0</v>
      </c>
      <c r="B109" s="16">
        <v>39.0</v>
      </c>
      <c r="G109" s="8">
        <v>72221.0</v>
      </c>
      <c r="H109" s="8">
        <v>1.0</v>
      </c>
      <c r="I109" s="8">
        <v>240.0</v>
      </c>
      <c r="J109" s="18">
        <f t="shared" si="1"/>
        <v>240</v>
      </c>
      <c r="K109" s="18">
        <f t="shared" si="2"/>
        <v>0</v>
      </c>
    </row>
    <row r="110">
      <c r="A110" s="15">
        <v>88561.0</v>
      </c>
      <c r="B110" s="16">
        <v>93.0</v>
      </c>
      <c r="G110" s="8">
        <v>83107.0</v>
      </c>
      <c r="H110" s="8">
        <v>2.0</v>
      </c>
      <c r="I110" s="8">
        <v>166.0</v>
      </c>
      <c r="J110" s="18">
        <f t="shared" si="1"/>
        <v>354</v>
      </c>
      <c r="K110" s="18">
        <f t="shared" si="2"/>
        <v>188</v>
      </c>
    </row>
    <row r="111">
      <c r="A111" s="15">
        <v>88623.0</v>
      </c>
      <c r="B111" s="16">
        <v>294.0</v>
      </c>
      <c r="G111" s="8">
        <v>83107.0</v>
      </c>
      <c r="H111" s="8">
        <v>2.0</v>
      </c>
      <c r="I111" s="8">
        <v>188.0</v>
      </c>
      <c r="J111" s="18">
        <f t="shared" si="1"/>
        <v>354</v>
      </c>
      <c r="K111" s="18">
        <f t="shared" si="2"/>
        <v>166</v>
      </c>
    </row>
    <row r="112">
      <c r="A112" s="15">
        <v>88642.0</v>
      </c>
      <c r="B112" s="16">
        <v>119.0</v>
      </c>
      <c r="G112" s="8">
        <v>59903.0</v>
      </c>
      <c r="H112" s="8">
        <v>6.0</v>
      </c>
      <c r="I112" s="4">
        <v>130.0</v>
      </c>
      <c r="J112" s="18">
        <f t="shared" si="1"/>
        <v>519</v>
      </c>
      <c r="K112" s="18">
        <f t="shared" si="2"/>
        <v>389</v>
      </c>
    </row>
    <row r="113">
      <c r="A113" s="15">
        <v>88647.0</v>
      </c>
      <c r="B113" s="16">
        <v>73.0</v>
      </c>
      <c r="G113" s="8">
        <v>59903.0</v>
      </c>
      <c r="H113" s="8">
        <v>6.0</v>
      </c>
      <c r="I113" s="4">
        <v>173.0</v>
      </c>
      <c r="J113" s="18">
        <f t="shared" si="1"/>
        <v>519</v>
      </c>
      <c r="K113" s="18">
        <f t="shared" si="2"/>
        <v>346</v>
      </c>
    </row>
    <row r="114">
      <c r="A114" s="15">
        <v>88680.0</v>
      </c>
      <c r="B114" s="16">
        <v>137.0</v>
      </c>
      <c r="G114" s="8">
        <v>59903.0</v>
      </c>
      <c r="H114" s="8">
        <v>6.0</v>
      </c>
      <c r="I114" s="4">
        <v>118.0</v>
      </c>
      <c r="J114" s="18">
        <f t="shared" si="1"/>
        <v>519</v>
      </c>
      <c r="K114" s="18">
        <f t="shared" si="2"/>
        <v>401</v>
      </c>
    </row>
    <row r="115">
      <c r="A115" s="15">
        <v>88681.0</v>
      </c>
      <c r="B115" s="16">
        <v>80.0</v>
      </c>
      <c r="G115" s="8">
        <v>59903.0</v>
      </c>
      <c r="H115" s="8">
        <v>6.0</v>
      </c>
      <c r="I115" s="4">
        <v>31.0</v>
      </c>
      <c r="J115" s="18">
        <f t="shared" si="1"/>
        <v>519</v>
      </c>
      <c r="K115" s="18">
        <f t="shared" si="2"/>
        <v>488</v>
      </c>
    </row>
    <row r="116">
      <c r="A116" s="15">
        <v>88765.0</v>
      </c>
      <c r="B116" s="16">
        <v>152.0</v>
      </c>
      <c r="G116" s="8">
        <v>59903.0</v>
      </c>
      <c r="H116" s="8">
        <v>6.0</v>
      </c>
      <c r="I116" s="4">
        <v>30.0</v>
      </c>
      <c r="J116" s="18">
        <f t="shared" si="1"/>
        <v>519</v>
      </c>
      <c r="K116" s="18">
        <f t="shared" si="2"/>
        <v>489</v>
      </c>
    </row>
    <row r="117">
      <c r="A117" s="15">
        <v>88787.0</v>
      </c>
      <c r="B117" s="16">
        <v>228.0</v>
      </c>
      <c r="G117" s="8">
        <v>59903.0</v>
      </c>
      <c r="H117" s="8">
        <v>6.0</v>
      </c>
      <c r="I117" s="4">
        <v>37.0</v>
      </c>
      <c r="J117" s="18">
        <f t="shared" si="1"/>
        <v>519</v>
      </c>
      <c r="K117" s="18">
        <f t="shared" si="2"/>
        <v>482</v>
      </c>
    </row>
    <row r="118">
      <c r="A118" s="15">
        <v>88815.0</v>
      </c>
      <c r="B118" s="16">
        <v>336.0</v>
      </c>
      <c r="G118" s="8">
        <v>73653.0</v>
      </c>
      <c r="H118" s="8">
        <v>1.0</v>
      </c>
      <c r="I118" s="8">
        <v>143.0</v>
      </c>
      <c r="J118" s="18">
        <f t="shared" si="1"/>
        <v>143</v>
      </c>
      <c r="K118" s="18">
        <f t="shared" si="2"/>
        <v>0</v>
      </c>
    </row>
    <row r="119">
      <c r="A119" s="15">
        <v>88818.0</v>
      </c>
      <c r="B119" s="16">
        <v>107.0</v>
      </c>
      <c r="G119" s="8">
        <v>74909.0</v>
      </c>
      <c r="H119" s="8">
        <v>2.0</v>
      </c>
      <c r="I119" s="8">
        <v>169.0</v>
      </c>
      <c r="J119" s="18">
        <f t="shared" si="1"/>
        <v>288</v>
      </c>
      <c r="K119" s="18">
        <f t="shared" si="2"/>
        <v>119</v>
      </c>
    </row>
    <row r="120">
      <c r="A120" s="15">
        <v>88855.0</v>
      </c>
      <c r="B120" s="16">
        <v>216.0</v>
      </c>
      <c r="G120" s="8">
        <v>74909.0</v>
      </c>
      <c r="H120" s="8">
        <v>2.0</v>
      </c>
      <c r="I120" s="8">
        <v>119.0</v>
      </c>
      <c r="J120" s="18">
        <f t="shared" si="1"/>
        <v>288</v>
      </c>
      <c r="K120" s="18">
        <f t="shared" si="2"/>
        <v>169</v>
      </c>
    </row>
    <row r="121">
      <c r="A121" s="15">
        <v>88858.0</v>
      </c>
      <c r="B121" s="16">
        <v>247.0</v>
      </c>
      <c r="G121" s="8">
        <v>89772.0</v>
      </c>
      <c r="H121" s="8">
        <v>1.0</v>
      </c>
      <c r="I121" s="8">
        <v>145.0</v>
      </c>
      <c r="J121" s="18">
        <f t="shared" si="1"/>
        <v>145</v>
      </c>
      <c r="K121" s="18">
        <f t="shared" si="2"/>
        <v>0</v>
      </c>
    </row>
    <row r="122">
      <c r="A122" s="15">
        <v>88905.0</v>
      </c>
      <c r="B122" s="16">
        <v>873.0</v>
      </c>
      <c r="G122" s="8">
        <v>89866.0</v>
      </c>
      <c r="H122" s="8">
        <v>1.0</v>
      </c>
      <c r="I122" s="8">
        <v>126.0</v>
      </c>
      <c r="J122" s="18">
        <f t="shared" si="1"/>
        <v>126</v>
      </c>
      <c r="K122" s="18">
        <f t="shared" si="2"/>
        <v>0</v>
      </c>
    </row>
    <row r="123">
      <c r="A123" s="15">
        <v>89014.0</v>
      </c>
      <c r="B123" s="16">
        <v>72.0</v>
      </c>
      <c r="G123" s="8">
        <v>88561.0</v>
      </c>
      <c r="H123" s="8">
        <v>1.0</v>
      </c>
      <c r="I123" s="8">
        <v>93.0</v>
      </c>
      <c r="J123" s="18">
        <f t="shared" si="1"/>
        <v>93</v>
      </c>
      <c r="K123" s="18">
        <f t="shared" si="2"/>
        <v>0</v>
      </c>
    </row>
    <row r="124">
      <c r="A124" s="15">
        <v>89198.0</v>
      </c>
      <c r="B124" s="16">
        <v>26.0</v>
      </c>
      <c r="G124" s="8">
        <v>73643.0</v>
      </c>
      <c r="H124" s="8">
        <v>1.0</v>
      </c>
      <c r="I124" s="8">
        <v>0.0</v>
      </c>
      <c r="J124" s="18">
        <f t="shared" si="1"/>
        <v>0</v>
      </c>
      <c r="K124" s="18">
        <f t="shared" si="2"/>
        <v>0</v>
      </c>
    </row>
    <row r="125">
      <c r="A125" s="15">
        <v>89254.0</v>
      </c>
      <c r="B125" s="16">
        <v>46.0</v>
      </c>
      <c r="G125" s="8">
        <v>88642.0</v>
      </c>
      <c r="H125" s="8">
        <v>1.0</v>
      </c>
      <c r="I125" s="8">
        <v>119.0</v>
      </c>
      <c r="J125" s="18">
        <f t="shared" si="1"/>
        <v>119</v>
      </c>
      <c r="K125" s="18">
        <f t="shared" si="2"/>
        <v>0</v>
      </c>
    </row>
    <row r="126">
      <c r="A126" s="15">
        <v>89378.0</v>
      </c>
      <c r="B126" s="16">
        <v>54.0</v>
      </c>
      <c r="G126" s="8">
        <v>89198.0</v>
      </c>
      <c r="H126" s="8">
        <v>1.0</v>
      </c>
      <c r="I126" s="8">
        <v>26.0</v>
      </c>
      <c r="J126" s="18">
        <f t="shared" si="1"/>
        <v>26</v>
      </c>
      <c r="K126" s="18">
        <f t="shared" si="2"/>
        <v>0</v>
      </c>
    </row>
    <row r="127">
      <c r="A127" s="15">
        <v>89451.0</v>
      </c>
      <c r="B127" s="16">
        <v>32.0</v>
      </c>
      <c r="G127" s="8">
        <v>78552.0</v>
      </c>
      <c r="H127" s="8">
        <v>1.0</v>
      </c>
      <c r="I127" s="8">
        <v>271.0</v>
      </c>
      <c r="J127" s="18">
        <f t="shared" si="1"/>
        <v>271</v>
      </c>
      <c r="K127" s="18">
        <f t="shared" si="2"/>
        <v>0</v>
      </c>
    </row>
    <row r="128">
      <c r="A128" s="15">
        <v>89484.0</v>
      </c>
      <c r="B128" s="16">
        <v>28.0</v>
      </c>
      <c r="G128" s="8">
        <v>76215.0</v>
      </c>
      <c r="H128" s="8">
        <v>1.0</v>
      </c>
      <c r="I128" s="8">
        <v>62.0</v>
      </c>
      <c r="J128" s="18">
        <f t="shared" si="1"/>
        <v>62</v>
      </c>
      <c r="K128" s="18">
        <f t="shared" si="2"/>
        <v>0</v>
      </c>
    </row>
    <row r="129">
      <c r="A129" s="15">
        <v>89562.0</v>
      </c>
      <c r="B129" s="16">
        <v>82.0</v>
      </c>
      <c r="G129" s="8">
        <v>77174.0</v>
      </c>
      <c r="H129" s="8">
        <v>1.0</v>
      </c>
      <c r="I129" s="8">
        <v>152.0</v>
      </c>
      <c r="J129" s="18">
        <f t="shared" si="1"/>
        <v>152</v>
      </c>
      <c r="K129" s="18">
        <f t="shared" si="2"/>
        <v>0</v>
      </c>
    </row>
    <row r="130">
      <c r="A130" s="15">
        <v>89572.0</v>
      </c>
      <c r="B130" s="16">
        <v>182.0</v>
      </c>
      <c r="G130" s="8">
        <v>21221.0</v>
      </c>
      <c r="H130" s="8">
        <v>3.0</v>
      </c>
      <c r="I130" s="8">
        <v>118.0</v>
      </c>
      <c r="J130" s="18">
        <f t="shared" si="1"/>
        <v>303</v>
      </c>
      <c r="K130" s="18">
        <f t="shared" si="2"/>
        <v>185</v>
      </c>
    </row>
    <row r="131">
      <c r="A131" s="15">
        <v>89610.0</v>
      </c>
      <c r="B131" s="16">
        <v>56.0</v>
      </c>
      <c r="G131" s="8">
        <v>21221.0</v>
      </c>
      <c r="H131" s="8">
        <v>3.0</v>
      </c>
      <c r="I131" s="8">
        <v>92.0</v>
      </c>
      <c r="J131" s="18">
        <f t="shared" si="1"/>
        <v>303</v>
      </c>
      <c r="K131" s="18">
        <f t="shared" si="2"/>
        <v>211</v>
      </c>
    </row>
    <row r="132">
      <c r="A132" s="15">
        <v>89611.0</v>
      </c>
      <c r="B132" s="16">
        <v>137.0</v>
      </c>
      <c r="G132" s="8">
        <v>21221.0</v>
      </c>
      <c r="H132" s="8">
        <v>3.0</v>
      </c>
      <c r="I132" s="8">
        <v>93.0</v>
      </c>
      <c r="J132" s="18">
        <f t="shared" si="1"/>
        <v>303</v>
      </c>
      <c r="K132" s="18">
        <f t="shared" si="2"/>
        <v>210</v>
      </c>
    </row>
    <row r="133">
      <c r="A133" s="15">
        <v>89631.0</v>
      </c>
      <c r="B133" s="16">
        <v>450.0</v>
      </c>
      <c r="G133" s="8">
        <v>78237.0</v>
      </c>
      <c r="H133" s="8">
        <v>2.0</v>
      </c>
      <c r="I133" s="8">
        <v>161.0</v>
      </c>
      <c r="J133" s="18">
        <f t="shared" si="1"/>
        <v>367</v>
      </c>
      <c r="K133" s="18">
        <f t="shared" si="2"/>
        <v>206</v>
      </c>
    </row>
    <row r="134">
      <c r="A134" s="15">
        <v>89656.0</v>
      </c>
      <c r="B134" s="16">
        <v>82.0</v>
      </c>
      <c r="G134" s="8">
        <v>78237.0</v>
      </c>
      <c r="H134" s="8">
        <v>2.0</v>
      </c>
      <c r="I134" s="8">
        <v>206.0</v>
      </c>
      <c r="J134" s="18">
        <f t="shared" si="1"/>
        <v>367</v>
      </c>
      <c r="K134" s="18">
        <f t="shared" si="2"/>
        <v>161</v>
      </c>
    </row>
    <row r="135">
      <c r="A135" s="15">
        <v>89674.0</v>
      </c>
      <c r="B135" s="16">
        <v>165.0</v>
      </c>
      <c r="G135" s="8">
        <v>89782.0</v>
      </c>
      <c r="H135" s="8">
        <v>1.0</v>
      </c>
      <c r="I135" s="8">
        <v>280.0</v>
      </c>
      <c r="J135" s="18">
        <f t="shared" si="1"/>
        <v>280</v>
      </c>
      <c r="K135" s="18">
        <f t="shared" si="2"/>
        <v>0</v>
      </c>
    </row>
    <row r="136">
      <c r="A136" s="15">
        <v>89683.0</v>
      </c>
      <c r="B136" s="16">
        <v>110.0</v>
      </c>
      <c r="G136" s="8">
        <v>89830.0</v>
      </c>
      <c r="H136" s="8">
        <v>1.0</v>
      </c>
      <c r="I136" s="8">
        <v>125.0</v>
      </c>
      <c r="J136" s="18">
        <f t="shared" si="1"/>
        <v>125</v>
      </c>
      <c r="K136" s="18">
        <f t="shared" si="2"/>
        <v>0</v>
      </c>
    </row>
    <row r="137">
      <c r="A137" s="15">
        <v>89719.0</v>
      </c>
      <c r="B137" s="16">
        <v>80.0</v>
      </c>
      <c r="G137" s="8">
        <v>84709.0</v>
      </c>
      <c r="H137" s="8">
        <v>1.0</v>
      </c>
      <c r="I137" s="8">
        <v>172.0</v>
      </c>
      <c r="J137" s="18">
        <f t="shared" si="1"/>
        <v>172</v>
      </c>
      <c r="K137" s="18">
        <f t="shared" si="2"/>
        <v>0</v>
      </c>
    </row>
    <row r="138">
      <c r="A138" s="15">
        <v>89726.0</v>
      </c>
      <c r="B138" s="16">
        <v>168.0</v>
      </c>
      <c r="G138" s="8">
        <v>86865.0</v>
      </c>
      <c r="H138" s="8">
        <v>1.0</v>
      </c>
      <c r="I138" s="8">
        <v>144.0</v>
      </c>
      <c r="J138" s="18">
        <f t="shared" si="1"/>
        <v>144</v>
      </c>
      <c r="K138" s="18">
        <f t="shared" si="2"/>
        <v>0</v>
      </c>
    </row>
    <row r="139">
      <c r="A139" s="15">
        <v>89727.0</v>
      </c>
      <c r="B139" s="16">
        <v>47.0</v>
      </c>
      <c r="G139" s="8">
        <v>89788.0</v>
      </c>
      <c r="H139" s="8">
        <v>1.0</v>
      </c>
      <c r="I139" s="8">
        <v>222.0</v>
      </c>
      <c r="J139" s="18">
        <f t="shared" si="1"/>
        <v>222</v>
      </c>
      <c r="K139" s="18">
        <f t="shared" si="2"/>
        <v>0</v>
      </c>
    </row>
    <row r="140">
      <c r="A140" s="15">
        <v>89728.0</v>
      </c>
      <c r="B140" s="16">
        <v>256.0</v>
      </c>
      <c r="G140" s="8">
        <v>73654.0</v>
      </c>
      <c r="H140" s="8">
        <v>1.0</v>
      </c>
      <c r="I140" s="8">
        <v>70.0</v>
      </c>
      <c r="J140" s="18">
        <f t="shared" si="1"/>
        <v>70</v>
      </c>
      <c r="K140" s="18">
        <f t="shared" si="2"/>
        <v>0</v>
      </c>
    </row>
    <row r="141">
      <c r="A141" s="15">
        <v>89735.0</v>
      </c>
      <c r="B141" s="16">
        <v>148.0</v>
      </c>
      <c r="G141" s="8">
        <v>73642.0</v>
      </c>
      <c r="H141" s="8">
        <v>1.0</v>
      </c>
      <c r="I141" s="8">
        <v>69.0</v>
      </c>
      <c r="J141" s="18">
        <f t="shared" si="1"/>
        <v>69</v>
      </c>
      <c r="K141" s="18">
        <f t="shared" si="2"/>
        <v>0</v>
      </c>
    </row>
    <row r="142">
      <c r="A142" s="15">
        <v>89738.0</v>
      </c>
      <c r="B142" s="16">
        <v>120.0</v>
      </c>
      <c r="G142" s="8">
        <v>25910.0</v>
      </c>
      <c r="H142" s="8">
        <v>1.0</v>
      </c>
      <c r="I142" s="8">
        <v>294.0</v>
      </c>
      <c r="J142" s="18">
        <f t="shared" si="1"/>
        <v>294</v>
      </c>
      <c r="K142" s="18">
        <f t="shared" si="2"/>
        <v>0</v>
      </c>
    </row>
    <row r="143">
      <c r="A143" s="15">
        <v>89739.0</v>
      </c>
      <c r="B143" s="16">
        <v>87.0</v>
      </c>
      <c r="G143" s="8">
        <v>89749.0</v>
      </c>
      <c r="H143" s="8">
        <v>1.0</v>
      </c>
      <c r="I143" s="8">
        <v>45.0</v>
      </c>
      <c r="J143" s="18">
        <f t="shared" si="1"/>
        <v>45</v>
      </c>
      <c r="K143" s="18">
        <f t="shared" si="2"/>
        <v>0</v>
      </c>
    </row>
    <row r="144">
      <c r="A144" s="15">
        <v>89744.0</v>
      </c>
      <c r="B144" s="16">
        <v>163.0</v>
      </c>
      <c r="G144" s="8">
        <v>73647.0</v>
      </c>
      <c r="H144" s="8">
        <v>2.0</v>
      </c>
      <c r="I144" s="8">
        <v>231.0</v>
      </c>
      <c r="J144" s="18">
        <f t="shared" si="1"/>
        <v>433</v>
      </c>
      <c r="K144" s="18">
        <f t="shared" si="2"/>
        <v>202</v>
      </c>
    </row>
    <row r="145">
      <c r="A145" s="15">
        <v>89749.0</v>
      </c>
      <c r="B145" s="16">
        <v>45.0</v>
      </c>
      <c r="G145" s="8">
        <v>73647.0</v>
      </c>
      <c r="H145" s="8">
        <v>2.0</v>
      </c>
      <c r="I145" s="8">
        <v>202.0</v>
      </c>
      <c r="J145" s="18">
        <f t="shared" si="1"/>
        <v>433</v>
      </c>
      <c r="K145" s="18">
        <f t="shared" si="2"/>
        <v>231</v>
      </c>
    </row>
    <row r="146">
      <c r="A146" s="15">
        <v>89752.0</v>
      </c>
      <c r="B146" s="16">
        <v>67.0</v>
      </c>
      <c r="G146" s="8">
        <v>88680.0</v>
      </c>
      <c r="H146" s="8">
        <v>1.0</v>
      </c>
      <c r="I146" s="8">
        <v>137.0</v>
      </c>
      <c r="J146" s="18">
        <f t="shared" si="1"/>
        <v>137</v>
      </c>
      <c r="K146" s="18">
        <f t="shared" si="2"/>
        <v>0</v>
      </c>
    </row>
    <row r="147">
      <c r="A147" s="15">
        <v>89753.0</v>
      </c>
      <c r="B147" s="16">
        <v>192.0</v>
      </c>
      <c r="G147" s="8">
        <v>89791.0</v>
      </c>
      <c r="H147" s="8">
        <v>1.0</v>
      </c>
      <c r="I147" s="8">
        <v>139.0</v>
      </c>
      <c r="J147" s="18">
        <f t="shared" si="1"/>
        <v>139</v>
      </c>
      <c r="K147" s="18">
        <f t="shared" si="2"/>
        <v>0</v>
      </c>
    </row>
    <row r="148">
      <c r="A148" s="15">
        <v>89756.0</v>
      </c>
      <c r="B148" s="16">
        <v>48.0</v>
      </c>
      <c r="G148" s="8">
        <v>54665.0</v>
      </c>
      <c r="H148" s="8">
        <v>1.0</v>
      </c>
      <c r="I148" s="8">
        <v>89.0</v>
      </c>
      <c r="J148" s="18">
        <f t="shared" si="1"/>
        <v>89</v>
      </c>
      <c r="K148" s="18">
        <f t="shared" si="2"/>
        <v>0</v>
      </c>
    </row>
    <row r="149">
      <c r="A149" s="15">
        <v>89758.0</v>
      </c>
      <c r="B149" s="16">
        <v>192.0</v>
      </c>
      <c r="G149" s="8">
        <v>79138.0</v>
      </c>
      <c r="H149" s="8">
        <v>1.0</v>
      </c>
      <c r="I149" s="8">
        <v>55.0</v>
      </c>
      <c r="J149" s="18">
        <f t="shared" si="1"/>
        <v>55</v>
      </c>
      <c r="K149" s="18">
        <f t="shared" si="2"/>
        <v>0</v>
      </c>
    </row>
    <row r="150">
      <c r="A150" s="15">
        <v>89764.0</v>
      </c>
      <c r="B150" s="16">
        <v>99.0</v>
      </c>
      <c r="G150" s="8">
        <v>76999.0</v>
      </c>
      <c r="H150" s="8">
        <v>2.0</v>
      </c>
      <c r="I150" s="8">
        <v>287.0</v>
      </c>
      <c r="J150" s="18">
        <f t="shared" si="1"/>
        <v>609</v>
      </c>
      <c r="K150" s="18">
        <f t="shared" si="2"/>
        <v>322</v>
      </c>
    </row>
    <row r="151">
      <c r="A151" s="15">
        <v>89769.0</v>
      </c>
      <c r="B151" s="16">
        <v>70.0</v>
      </c>
      <c r="G151" s="8">
        <v>76999.0</v>
      </c>
      <c r="H151" s="8">
        <v>2.0</v>
      </c>
      <c r="I151" s="8">
        <v>322.0</v>
      </c>
      <c r="J151" s="18">
        <f t="shared" si="1"/>
        <v>609</v>
      </c>
      <c r="K151" s="18">
        <f t="shared" si="2"/>
        <v>287</v>
      </c>
    </row>
    <row r="152">
      <c r="A152" s="15">
        <v>89772.0</v>
      </c>
      <c r="B152" s="16">
        <v>145.0</v>
      </c>
      <c r="G152" s="8">
        <v>88066.0</v>
      </c>
      <c r="H152" s="8">
        <v>1.0</v>
      </c>
      <c r="I152" s="8">
        <v>121.0</v>
      </c>
      <c r="J152" s="18">
        <f t="shared" si="1"/>
        <v>121</v>
      </c>
      <c r="K152" s="18">
        <f t="shared" si="2"/>
        <v>0</v>
      </c>
    </row>
    <row r="153">
      <c r="A153" s="15">
        <v>89773.0</v>
      </c>
      <c r="B153" s="16">
        <v>90.0</v>
      </c>
      <c r="G153" s="8">
        <v>74370.0</v>
      </c>
      <c r="H153" s="8">
        <v>1.0</v>
      </c>
      <c r="I153" s="8">
        <v>171.0</v>
      </c>
      <c r="J153" s="18">
        <f t="shared" si="1"/>
        <v>171</v>
      </c>
      <c r="K153" s="18">
        <f t="shared" si="2"/>
        <v>0</v>
      </c>
    </row>
    <row r="154">
      <c r="A154" s="15">
        <v>89774.0</v>
      </c>
      <c r="B154" s="16">
        <v>124.0</v>
      </c>
      <c r="G154" s="8">
        <v>88905.0</v>
      </c>
      <c r="H154" s="8">
        <v>1.0</v>
      </c>
      <c r="I154" s="8">
        <v>873.0</v>
      </c>
      <c r="J154" s="18">
        <f t="shared" si="1"/>
        <v>873</v>
      </c>
      <c r="K154" s="18">
        <f t="shared" si="2"/>
        <v>0</v>
      </c>
    </row>
    <row r="155">
      <c r="A155" s="15">
        <v>89777.0</v>
      </c>
      <c r="B155" s="16">
        <v>172.0</v>
      </c>
      <c r="G155" s="8">
        <v>78072.0</v>
      </c>
      <c r="H155" s="8">
        <v>1.0</v>
      </c>
      <c r="I155" s="8">
        <v>200.0</v>
      </c>
      <c r="J155" s="18">
        <f t="shared" si="1"/>
        <v>200</v>
      </c>
      <c r="K155" s="18">
        <f t="shared" si="2"/>
        <v>0</v>
      </c>
    </row>
    <row r="156">
      <c r="A156" s="15">
        <v>89778.0</v>
      </c>
      <c r="B156" s="16">
        <v>138.0</v>
      </c>
      <c r="G156" s="8">
        <v>89795.0</v>
      </c>
      <c r="H156" s="8">
        <v>1.0</v>
      </c>
      <c r="I156" s="8">
        <v>170.0</v>
      </c>
      <c r="J156" s="18">
        <f t="shared" si="1"/>
        <v>170</v>
      </c>
      <c r="K156" s="18">
        <f t="shared" si="2"/>
        <v>0</v>
      </c>
    </row>
    <row r="157">
      <c r="A157" s="15">
        <v>89782.0</v>
      </c>
      <c r="B157" s="16">
        <v>280.0</v>
      </c>
      <c r="G157" s="8">
        <v>87598.0</v>
      </c>
      <c r="H157" s="8">
        <v>1.0</v>
      </c>
      <c r="I157" s="8">
        <v>192.0</v>
      </c>
      <c r="J157" s="18">
        <f t="shared" si="1"/>
        <v>192</v>
      </c>
      <c r="K157" s="18">
        <f t="shared" si="2"/>
        <v>0</v>
      </c>
    </row>
    <row r="158">
      <c r="A158" s="15">
        <v>89785.0</v>
      </c>
      <c r="B158" s="16">
        <v>93.0</v>
      </c>
      <c r="G158" s="8">
        <v>88855.0</v>
      </c>
      <c r="H158" s="8">
        <v>1.0</v>
      </c>
      <c r="I158" s="8">
        <v>216.0</v>
      </c>
      <c r="J158" s="18">
        <f t="shared" si="1"/>
        <v>216</v>
      </c>
      <c r="K158" s="18">
        <f t="shared" si="2"/>
        <v>0</v>
      </c>
    </row>
    <row r="159">
      <c r="A159" s="15">
        <v>89788.0</v>
      </c>
      <c r="B159" s="16">
        <v>222.0</v>
      </c>
      <c r="G159" s="8">
        <v>89847.0</v>
      </c>
      <c r="H159" s="8">
        <v>1.0</v>
      </c>
      <c r="I159" s="8">
        <v>288.0</v>
      </c>
      <c r="J159" s="18">
        <f t="shared" si="1"/>
        <v>288</v>
      </c>
      <c r="K159" s="18">
        <f t="shared" si="2"/>
        <v>0</v>
      </c>
    </row>
    <row r="160">
      <c r="A160" s="15">
        <v>89791.0</v>
      </c>
      <c r="B160" s="16">
        <v>139.0</v>
      </c>
      <c r="G160" s="8">
        <v>79695.0</v>
      </c>
      <c r="H160" s="8">
        <v>1.0</v>
      </c>
      <c r="I160" s="8">
        <v>99.0</v>
      </c>
      <c r="J160" s="18">
        <f t="shared" si="1"/>
        <v>99</v>
      </c>
      <c r="K160" s="18">
        <f t="shared" si="2"/>
        <v>0</v>
      </c>
    </row>
    <row r="161">
      <c r="A161" s="15">
        <v>89792.0</v>
      </c>
      <c r="B161" s="16">
        <v>111.0</v>
      </c>
      <c r="G161" s="8">
        <v>60667.0</v>
      </c>
      <c r="H161" s="8">
        <v>1.0</v>
      </c>
      <c r="I161" s="8">
        <v>46.0</v>
      </c>
      <c r="J161" s="18">
        <f t="shared" si="1"/>
        <v>46</v>
      </c>
      <c r="K161" s="18">
        <f t="shared" si="2"/>
        <v>0</v>
      </c>
    </row>
    <row r="162">
      <c r="A162" s="15">
        <v>89795.0</v>
      </c>
      <c r="B162" s="16">
        <v>170.0</v>
      </c>
      <c r="G162" s="8">
        <v>89792.0</v>
      </c>
      <c r="H162" s="8">
        <v>1.0</v>
      </c>
      <c r="I162" s="8">
        <v>111.0</v>
      </c>
      <c r="J162" s="18">
        <f t="shared" si="1"/>
        <v>111</v>
      </c>
      <c r="K162" s="18">
        <f t="shared" si="2"/>
        <v>0</v>
      </c>
    </row>
    <row r="163">
      <c r="A163" s="15">
        <v>89796.0</v>
      </c>
      <c r="B163" s="16">
        <v>126.0</v>
      </c>
      <c r="G163" s="8">
        <v>58113.0</v>
      </c>
      <c r="H163" s="8">
        <v>1.0</v>
      </c>
      <c r="I163" s="8">
        <v>209.0</v>
      </c>
      <c r="J163" s="18">
        <f t="shared" si="1"/>
        <v>209</v>
      </c>
      <c r="K163" s="18">
        <f t="shared" si="2"/>
        <v>0</v>
      </c>
    </row>
    <row r="164">
      <c r="A164" s="15">
        <v>89798.0</v>
      </c>
      <c r="B164" s="16">
        <v>63.0</v>
      </c>
      <c r="G164" s="8">
        <v>80569.0</v>
      </c>
      <c r="H164" s="8">
        <v>2.0</v>
      </c>
      <c r="I164" s="8">
        <v>83.0</v>
      </c>
      <c r="J164" s="18">
        <f t="shared" si="1"/>
        <v>166</v>
      </c>
      <c r="K164" s="18">
        <f t="shared" si="2"/>
        <v>83</v>
      </c>
    </row>
    <row r="165">
      <c r="A165" s="15">
        <v>89801.0</v>
      </c>
      <c r="B165" s="16">
        <v>44.0</v>
      </c>
      <c r="G165" s="8">
        <v>80569.0</v>
      </c>
      <c r="H165" s="8">
        <v>2.0</v>
      </c>
      <c r="I165" s="8">
        <v>83.0</v>
      </c>
      <c r="J165" s="18">
        <f t="shared" si="1"/>
        <v>166</v>
      </c>
      <c r="K165" s="18">
        <f t="shared" si="2"/>
        <v>83</v>
      </c>
    </row>
    <row r="166">
      <c r="A166" s="15">
        <v>89802.0</v>
      </c>
      <c r="B166" s="16">
        <v>76.0</v>
      </c>
      <c r="G166" s="8">
        <v>86045.0</v>
      </c>
      <c r="H166" s="8">
        <v>1.0</v>
      </c>
      <c r="I166" s="8">
        <v>140.0</v>
      </c>
      <c r="J166" s="18">
        <f t="shared" si="1"/>
        <v>140</v>
      </c>
      <c r="K166" s="18">
        <f t="shared" si="2"/>
        <v>0</v>
      </c>
    </row>
    <row r="167">
      <c r="A167" s="15">
        <v>89808.0</v>
      </c>
      <c r="B167" s="16">
        <v>58.0</v>
      </c>
      <c r="G167" s="8">
        <v>73641.0</v>
      </c>
      <c r="H167" s="8">
        <v>1.0</v>
      </c>
      <c r="I167" s="8">
        <v>252.0</v>
      </c>
      <c r="J167" s="18">
        <f t="shared" si="1"/>
        <v>252</v>
      </c>
      <c r="K167" s="18">
        <f t="shared" si="2"/>
        <v>0</v>
      </c>
    </row>
    <row r="168">
      <c r="A168" s="15">
        <v>89809.0</v>
      </c>
      <c r="B168" s="16">
        <v>200.0</v>
      </c>
      <c r="G168" s="8">
        <v>89819.0</v>
      </c>
      <c r="H168" s="8">
        <v>1.0</v>
      </c>
      <c r="I168" s="8">
        <v>106.0</v>
      </c>
      <c r="J168" s="18">
        <f t="shared" si="1"/>
        <v>106</v>
      </c>
      <c r="K168" s="18">
        <f t="shared" si="2"/>
        <v>0</v>
      </c>
    </row>
    <row r="169">
      <c r="A169" s="15">
        <v>89811.0</v>
      </c>
      <c r="B169" s="16">
        <v>85.0</v>
      </c>
      <c r="G169" s="8">
        <v>89796.0</v>
      </c>
      <c r="H169" s="8">
        <v>1.0</v>
      </c>
      <c r="I169" s="8">
        <v>126.0</v>
      </c>
      <c r="J169" s="18">
        <f t="shared" si="1"/>
        <v>126</v>
      </c>
      <c r="K169" s="18">
        <f t="shared" si="2"/>
        <v>0</v>
      </c>
    </row>
    <row r="170">
      <c r="A170" s="15">
        <v>89812.0</v>
      </c>
      <c r="B170" s="16">
        <v>150.0</v>
      </c>
      <c r="G170" s="8">
        <v>89656.0</v>
      </c>
      <c r="H170" s="8">
        <v>1.0</v>
      </c>
      <c r="I170" s="8">
        <v>82.0</v>
      </c>
      <c r="J170" s="18">
        <f t="shared" si="1"/>
        <v>82</v>
      </c>
      <c r="K170" s="18">
        <f t="shared" si="2"/>
        <v>0</v>
      </c>
    </row>
    <row r="171">
      <c r="A171" s="15">
        <v>89816.0</v>
      </c>
      <c r="B171" s="16">
        <v>56.0</v>
      </c>
      <c r="G171" s="8">
        <v>88818.0</v>
      </c>
      <c r="H171" s="8">
        <v>1.0</v>
      </c>
      <c r="I171" s="8">
        <v>107.0</v>
      </c>
      <c r="J171" s="18">
        <f t="shared" si="1"/>
        <v>107</v>
      </c>
      <c r="K171" s="18">
        <f t="shared" si="2"/>
        <v>0</v>
      </c>
    </row>
    <row r="172">
      <c r="A172" s="15">
        <v>89817.0</v>
      </c>
      <c r="B172" s="16">
        <v>108.0</v>
      </c>
      <c r="G172" s="8">
        <v>88647.0</v>
      </c>
      <c r="H172" s="8">
        <v>1.0</v>
      </c>
      <c r="I172" s="8">
        <v>73.0</v>
      </c>
      <c r="J172" s="18">
        <f t="shared" si="1"/>
        <v>73</v>
      </c>
      <c r="K172" s="18">
        <f t="shared" si="2"/>
        <v>0</v>
      </c>
    </row>
    <row r="173">
      <c r="A173" s="15">
        <v>89819.0</v>
      </c>
      <c r="B173" s="16">
        <v>106.0</v>
      </c>
      <c r="G173" s="8">
        <v>61941.0</v>
      </c>
      <c r="H173" s="8">
        <v>2.0</v>
      </c>
      <c r="I173" s="8">
        <v>144.0</v>
      </c>
      <c r="J173" s="18">
        <f t="shared" si="1"/>
        <v>351</v>
      </c>
      <c r="K173" s="18">
        <f t="shared" si="2"/>
        <v>207</v>
      </c>
    </row>
    <row r="174">
      <c r="A174" s="15">
        <v>89826.0</v>
      </c>
      <c r="B174" s="16">
        <v>283.0</v>
      </c>
      <c r="G174" s="8">
        <v>61941.0</v>
      </c>
      <c r="H174" s="8">
        <v>2.0</v>
      </c>
      <c r="I174" s="8">
        <v>207.0</v>
      </c>
      <c r="J174" s="18">
        <f t="shared" si="1"/>
        <v>351</v>
      </c>
      <c r="K174" s="18">
        <f t="shared" si="2"/>
        <v>144</v>
      </c>
    </row>
    <row r="175">
      <c r="A175" s="15">
        <v>89828.0</v>
      </c>
      <c r="B175" s="16">
        <v>55.0</v>
      </c>
      <c r="G175" s="8">
        <v>87331.0</v>
      </c>
      <c r="H175" s="8">
        <v>1.0</v>
      </c>
      <c r="I175" s="8">
        <v>136.0</v>
      </c>
      <c r="J175" s="18">
        <f t="shared" si="1"/>
        <v>136</v>
      </c>
      <c r="K175" s="18">
        <f t="shared" si="2"/>
        <v>0</v>
      </c>
    </row>
    <row r="176">
      <c r="A176" s="15">
        <v>89830.0</v>
      </c>
      <c r="B176" s="16">
        <v>125.0</v>
      </c>
      <c r="G176" s="8">
        <v>89726.0</v>
      </c>
      <c r="H176" s="8">
        <v>1.0</v>
      </c>
      <c r="I176" s="8">
        <v>168.0</v>
      </c>
      <c r="J176" s="18">
        <f t="shared" si="1"/>
        <v>168</v>
      </c>
      <c r="K176" s="18">
        <f t="shared" si="2"/>
        <v>0</v>
      </c>
    </row>
    <row r="177">
      <c r="A177" s="15">
        <v>89847.0</v>
      </c>
      <c r="B177" s="16">
        <v>288.0</v>
      </c>
      <c r="G177" s="8">
        <v>89738.0</v>
      </c>
      <c r="H177" s="8">
        <v>1.0</v>
      </c>
      <c r="I177" s="8">
        <v>120.0</v>
      </c>
      <c r="J177" s="18">
        <f t="shared" si="1"/>
        <v>120</v>
      </c>
      <c r="K177" s="18">
        <f t="shared" si="2"/>
        <v>0</v>
      </c>
    </row>
    <row r="178">
      <c r="A178" s="15">
        <v>89849.0</v>
      </c>
      <c r="B178" s="16">
        <v>88.0</v>
      </c>
      <c r="G178" s="8">
        <v>81255.0</v>
      </c>
      <c r="H178" s="8">
        <v>1.0</v>
      </c>
      <c r="I178" s="8">
        <v>174.0</v>
      </c>
      <c r="J178" s="18">
        <f t="shared" si="1"/>
        <v>174</v>
      </c>
      <c r="K178" s="18">
        <f t="shared" si="2"/>
        <v>0</v>
      </c>
    </row>
    <row r="179">
      <c r="A179" s="15">
        <v>89866.0</v>
      </c>
      <c r="B179" s="16">
        <v>126.0</v>
      </c>
      <c r="G179" s="8">
        <v>79567.0</v>
      </c>
      <c r="H179" s="8">
        <v>1.0</v>
      </c>
      <c r="I179" s="8">
        <v>33.0</v>
      </c>
      <c r="J179" s="18">
        <f t="shared" si="1"/>
        <v>33</v>
      </c>
      <c r="K179" s="18">
        <f t="shared" si="2"/>
        <v>0</v>
      </c>
    </row>
    <row r="180">
      <c r="A180" s="15">
        <v>89874.0</v>
      </c>
      <c r="B180" s="16">
        <v>107.0</v>
      </c>
      <c r="G180" s="8">
        <v>82527.0</v>
      </c>
      <c r="H180" s="8">
        <v>1.0</v>
      </c>
      <c r="I180" s="8">
        <v>244.0</v>
      </c>
      <c r="J180" s="18">
        <f t="shared" si="1"/>
        <v>244</v>
      </c>
      <c r="K180" s="18">
        <f t="shared" si="2"/>
        <v>0</v>
      </c>
    </row>
    <row r="181">
      <c r="A181" s="15">
        <v>89917.0</v>
      </c>
      <c r="B181" s="16">
        <v>203.0</v>
      </c>
      <c r="G181" s="8">
        <v>34531.0</v>
      </c>
      <c r="H181" s="8">
        <v>1.0</v>
      </c>
      <c r="I181" s="8">
        <v>223.0</v>
      </c>
      <c r="J181" s="18">
        <f t="shared" si="1"/>
        <v>223</v>
      </c>
      <c r="K181" s="18">
        <f t="shared" si="2"/>
        <v>0</v>
      </c>
    </row>
    <row r="182">
      <c r="A182" s="15">
        <v>89976.0</v>
      </c>
      <c r="B182" s="16">
        <v>132.0</v>
      </c>
      <c r="G182" s="8">
        <v>73646.0</v>
      </c>
      <c r="H182" s="8">
        <v>3.0</v>
      </c>
      <c r="I182" s="8">
        <v>340.0</v>
      </c>
      <c r="J182" s="18">
        <f t="shared" si="1"/>
        <v>668</v>
      </c>
      <c r="K182" s="18">
        <f t="shared" si="2"/>
        <v>328</v>
      </c>
    </row>
    <row r="183">
      <c r="A183" s="15">
        <v>90024.0</v>
      </c>
      <c r="B183" s="16">
        <v>27.0</v>
      </c>
      <c r="G183" s="8">
        <v>73646.0</v>
      </c>
      <c r="H183" s="8">
        <v>3.0</v>
      </c>
      <c r="I183" s="8">
        <v>70.0</v>
      </c>
      <c r="J183" s="18">
        <f t="shared" si="1"/>
        <v>668</v>
      </c>
      <c r="K183" s="18">
        <f t="shared" si="2"/>
        <v>598</v>
      </c>
    </row>
    <row r="184">
      <c r="G184" s="8">
        <v>73646.0</v>
      </c>
      <c r="H184" s="8">
        <v>3.0</v>
      </c>
      <c r="I184" s="8">
        <v>258.0</v>
      </c>
      <c r="J184" s="18">
        <f t="shared" si="1"/>
        <v>668</v>
      </c>
      <c r="K184" s="18">
        <f t="shared" si="2"/>
        <v>410</v>
      </c>
    </row>
    <row r="185">
      <c r="G185" s="8">
        <v>88815.0</v>
      </c>
      <c r="H185" s="8">
        <v>1.0</v>
      </c>
      <c r="I185" s="8">
        <v>336.0</v>
      </c>
      <c r="J185" s="18">
        <f t="shared" si="1"/>
        <v>336</v>
      </c>
      <c r="K185" s="18">
        <f t="shared" si="2"/>
        <v>0</v>
      </c>
    </row>
    <row r="186">
      <c r="G186" s="8">
        <v>61047.0</v>
      </c>
      <c r="H186" s="8">
        <v>2.0</v>
      </c>
      <c r="I186" s="8">
        <v>119.0</v>
      </c>
      <c r="J186" s="18">
        <f t="shared" si="1"/>
        <v>255</v>
      </c>
      <c r="K186" s="18">
        <f t="shared" si="2"/>
        <v>136</v>
      </c>
    </row>
    <row r="187">
      <c r="G187" s="8">
        <v>61047.0</v>
      </c>
      <c r="H187" s="8">
        <v>2.0</v>
      </c>
      <c r="I187" s="8">
        <v>136.0</v>
      </c>
      <c r="J187" s="18">
        <f t="shared" si="1"/>
        <v>255</v>
      </c>
      <c r="K187" s="18">
        <f t="shared" si="2"/>
        <v>119</v>
      </c>
    </row>
    <row r="188">
      <c r="G188" s="8">
        <v>73648.0</v>
      </c>
      <c r="H188" s="8">
        <v>2.0</v>
      </c>
      <c r="I188" s="8">
        <v>142.0</v>
      </c>
      <c r="J188" s="18">
        <f t="shared" si="1"/>
        <v>254</v>
      </c>
      <c r="K188" s="18">
        <f t="shared" si="2"/>
        <v>112</v>
      </c>
    </row>
    <row r="189">
      <c r="G189" s="8">
        <v>73648.0</v>
      </c>
      <c r="H189" s="8">
        <v>2.0</v>
      </c>
      <c r="I189" s="8">
        <v>112.0</v>
      </c>
      <c r="J189" s="18">
        <f t="shared" si="1"/>
        <v>254</v>
      </c>
      <c r="K189" s="18">
        <f t="shared" si="2"/>
        <v>142</v>
      </c>
    </row>
    <row r="190">
      <c r="G190" s="8">
        <v>73650.0</v>
      </c>
      <c r="H190" s="8">
        <v>4.0</v>
      </c>
      <c r="I190" s="8">
        <v>264.0</v>
      </c>
      <c r="J190" s="18">
        <f t="shared" si="1"/>
        <v>868</v>
      </c>
      <c r="K190" s="18">
        <f t="shared" si="2"/>
        <v>604</v>
      </c>
    </row>
    <row r="191">
      <c r="G191" s="8">
        <v>73650.0</v>
      </c>
      <c r="H191" s="8">
        <v>4.0</v>
      </c>
      <c r="I191" s="8">
        <v>198.0</v>
      </c>
      <c r="J191" s="18">
        <f t="shared" si="1"/>
        <v>868</v>
      </c>
      <c r="K191" s="18">
        <f t="shared" si="2"/>
        <v>670</v>
      </c>
    </row>
    <row r="192">
      <c r="G192" s="8">
        <v>73650.0</v>
      </c>
      <c r="H192" s="8">
        <v>4.0</v>
      </c>
      <c r="I192" s="8">
        <v>178.0</v>
      </c>
      <c r="J192" s="18">
        <f t="shared" si="1"/>
        <v>868</v>
      </c>
      <c r="K192" s="18">
        <f t="shared" si="2"/>
        <v>690</v>
      </c>
    </row>
    <row r="193">
      <c r="G193" s="8">
        <v>73650.0</v>
      </c>
      <c r="H193" s="8">
        <v>4.0</v>
      </c>
      <c r="I193" s="8">
        <v>228.0</v>
      </c>
      <c r="J193" s="18">
        <f t="shared" si="1"/>
        <v>868</v>
      </c>
      <c r="K193" s="18">
        <f t="shared" si="2"/>
        <v>640</v>
      </c>
    </row>
    <row r="194">
      <c r="G194" s="8">
        <v>89756.0</v>
      </c>
      <c r="H194" s="8">
        <v>1.0</v>
      </c>
      <c r="I194" s="8">
        <v>48.0</v>
      </c>
      <c r="J194" s="18">
        <f t="shared" si="1"/>
        <v>48</v>
      </c>
      <c r="K194" s="18">
        <f t="shared" si="2"/>
        <v>0</v>
      </c>
    </row>
    <row r="195">
      <c r="G195" s="8">
        <v>88858.0</v>
      </c>
      <c r="H195" s="8">
        <v>1.0</v>
      </c>
      <c r="I195" s="8">
        <v>247.0</v>
      </c>
      <c r="J195" s="18">
        <f t="shared" si="1"/>
        <v>247</v>
      </c>
      <c r="K195" s="18">
        <f t="shared" si="2"/>
        <v>0</v>
      </c>
    </row>
    <row r="196">
      <c r="G196" s="8">
        <v>89826.0</v>
      </c>
      <c r="H196" s="8">
        <v>1.0</v>
      </c>
      <c r="I196" s="8">
        <v>283.0</v>
      </c>
      <c r="J196" s="18">
        <f t="shared" si="1"/>
        <v>283</v>
      </c>
      <c r="K196" s="18">
        <f t="shared" si="2"/>
        <v>0</v>
      </c>
    </row>
    <row r="197">
      <c r="G197" s="8">
        <v>58158.0</v>
      </c>
      <c r="H197" s="8">
        <v>1.0</v>
      </c>
      <c r="I197" s="8">
        <v>359.0</v>
      </c>
      <c r="J197" s="18">
        <f t="shared" si="1"/>
        <v>359</v>
      </c>
      <c r="K197" s="18">
        <f t="shared" si="2"/>
        <v>0</v>
      </c>
    </row>
    <row r="198">
      <c r="G198" s="8">
        <v>88623.0</v>
      </c>
      <c r="H198" s="8">
        <v>1.0</v>
      </c>
      <c r="I198" s="8">
        <v>294.0</v>
      </c>
      <c r="J198" s="18">
        <f t="shared" si="1"/>
        <v>294</v>
      </c>
      <c r="K198" s="18">
        <f t="shared" si="2"/>
        <v>0</v>
      </c>
    </row>
    <row r="199">
      <c r="G199" s="8">
        <v>89572.0</v>
      </c>
      <c r="H199" s="8">
        <v>1.0</v>
      </c>
      <c r="I199" s="8">
        <v>182.0</v>
      </c>
      <c r="J199" s="18">
        <f t="shared" si="1"/>
        <v>182</v>
      </c>
      <c r="K199" s="18">
        <f t="shared" si="2"/>
        <v>0</v>
      </c>
    </row>
    <row r="200">
      <c r="G200" s="8">
        <v>88787.0</v>
      </c>
      <c r="H200" s="8">
        <v>1.0</v>
      </c>
      <c r="I200" s="8">
        <v>228.0</v>
      </c>
      <c r="J200" s="18">
        <f t="shared" si="1"/>
        <v>228</v>
      </c>
      <c r="K200" s="18">
        <f t="shared" si="2"/>
        <v>0</v>
      </c>
    </row>
    <row r="201">
      <c r="G201" s="8">
        <v>81190.0</v>
      </c>
      <c r="H201" s="8">
        <v>1.0</v>
      </c>
      <c r="I201" s="8">
        <v>108.0</v>
      </c>
      <c r="J201" s="18">
        <f t="shared" si="1"/>
        <v>108</v>
      </c>
      <c r="K201" s="18">
        <f t="shared" si="2"/>
        <v>0</v>
      </c>
    </row>
    <row r="202">
      <c r="G202" s="8">
        <v>83440.0</v>
      </c>
      <c r="H202" s="8">
        <v>1.0</v>
      </c>
      <c r="I202" s="8">
        <v>28.0</v>
      </c>
      <c r="J202" s="18">
        <f t="shared" si="1"/>
        <v>28</v>
      </c>
      <c r="K202" s="18">
        <f t="shared" si="2"/>
        <v>0</v>
      </c>
    </row>
    <row r="203">
      <c r="G203" s="8">
        <v>61585.0</v>
      </c>
      <c r="H203" s="8">
        <v>1.0</v>
      </c>
      <c r="I203" s="8">
        <v>197.0</v>
      </c>
      <c r="J203" s="18">
        <f t="shared" si="1"/>
        <v>197</v>
      </c>
      <c r="K203" s="18">
        <f t="shared" si="2"/>
        <v>0</v>
      </c>
    </row>
    <row r="204">
      <c r="G204" s="8">
        <v>89752.0</v>
      </c>
      <c r="H204" s="8">
        <v>1.0</v>
      </c>
      <c r="I204" s="8">
        <v>67.0</v>
      </c>
      <c r="J204" s="18">
        <f t="shared" si="1"/>
        <v>67</v>
      </c>
      <c r="K204" s="18">
        <f t="shared" si="2"/>
        <v>0</v>
      </c>
    </row>
    <row r="205">
      <c r="G205" s="8">
        <v>89674.0</v>
      </c>
      <c r="H205" s="8">
        <v>1.0</v>
      </c>
      <c r="I205" s="8">
        <v>165.0</v>
      </c>
      <c r="J205" s="18">
        <f t="shared" si="1"/>
        <v>165</v>
      </c>
      <c r="K205" s="18">
        <f t="shared" si="2"/>
        <v>0</v>
      </c>
    </row>
    <row r="206">
      <c r="G206" s="8">
        <v>75540.0</v>
      </c>
      <c r="H206" s="8">
        <v>1.0</v>
      </c>
      <c r="I206" s="8">
        <v>234.0</v>
      </c>
      <c r="J206" s="18">
        <f t="shared" si="1"/>
        <v>234</v>
      </c>
      <c r="K206" s="18">
        <f t="shared" si="2"/>
        <v>0</v>
      </c>
    </row>
    <row r="207">
      <c r="G207" s="8">
        <v>82040.0</v>
      </c>
      <c r="H207" s="8">
        <v>1.0</v>
      </c>
      <c r="I207" s="8">
        <v>82.0</v>
      </c>
      <c r="J207" s="18">
        <f t="shared" si="1"/>
        <v>82</v>
      </c>
      <c r="K207" s="18">
        <f t="shared" si="2"/>
        <v>0</v>
      </c>
    </row>
    <row r="208">
      <c r="G208" s="8">
        <v>89808.0</v>
      </c>
      <c r="H208" s="8">
        <v>1.0</v>
      </c>
      <c r="I208" s="8">
        <v>58.0</v>
      </c>
      <c r="J208" s="18">
        <f t="shared" si="1"/>
        <v>58</v>
      </c>
      <c r="K208" s="18">
        <f t="shared" si="2"/>
        <v>0</v>
      </c>
    </row>
    <row r="209">
      <c r="G209" s="8">
        <v>62418.0</v>
      </c>
      <c r="H209" s="8">
        <v>2.0</v>
      </c>
      <c r="I209" s="8">
        <v>67.0</v>
      </c>
      <c r="J209" s="18">
        <f t="shared" si="1"/>
        <v>111</v>
      </c>
      <c r="K209" s="18">
        <f t="shared" si="2"/>
        <v>44</v>
      </c>
    </row>
    <row r="210">
      <c r="G210" s="8">
        <v>62418.0</v>
      </c>
      <c r="H210" s="8">
        <v>2.0</v>
      </c>
      <c r="I210" s="8">
        <v>44.0</v>
      </c>
      <c r="J210" s="18">
        <f t="shared" si="1"/>
        <v>111</v>
      </c>
      <c r="K210" s="18">
        <f t="shared" si="2"/>
        <v>67</v>
      </c>
    </row>
    <row r="211">
      <c r="G211" s="8">
        <v>75059.0</v>
      </c>
      <c r="H211" s="8">
        <v>2.0</v>
      </c>
      <c r="I211" s="8">
        <v>112.0</v>
      </c>
      <c r="J211" s="18">
        <f t="shared" si="1"/>
        <v>336</v>
      </c>
      <c r="K211" s="18">
        <f t="shared" si="2"/>
        <v>224</v>
      </c>
    </row>
    <row r="212">
      <c r="G212" s="8">
        <v>75059.0</v>
      </c>
      <c r="H212" s="8">
        <v>2.0</v>
      </c>
      <c r="I212" s="8">
        <v>224.0</v>
      </c>
      <c r="J212" s="18">
        <f t="shared" si="1"/>
        <v>336</v>
      </c>
      <c r="K212" s="18">
        <f t="shared" si="2"/>
        <v>112</v>
      </c>
    </row>
    <row r="213">
      <c r="G213" s="8">
        <v>79536.0</v>
      </c>
      <c r="H213" s="8">
        <v>1.0</v>
      </c>
      <c r="I213" s="8">
        <v>51.0</v>
      </c>
      <c r="J213" s="18">
        <f t="shared" si="1"/>
        <v>51</v>
      </c>
      <c r="K213" s="18">
        <f t="shared" si="2"/>
        <v>0</v>
      </c>
    </row>
    <row r="214">
      <c r="G214" s="8">
        <v>89484.0</v>
      </c>
      <c r="H214" s="8">
        <v>1.0</v>
      </c>
      <c r="I214" s="8">
        <v>28.0</v>
      </c>
      <c r="J214" s="18">
        <f t="shared" si="1"/>
        <v>28</v>
      </c>
      <c r="K214" s="18">
        <f t="shared" si="2"/>
        <v>0</v>
      </c>
    </row>
    <row r="215">
      <c r="G215" s="8">
        <v>89758.0</v>
      </c>
      <c r="H215" s="8">
        <v>1.0</v>
      </c>
      <c r="I215" s="8">
        <v>192.0</v>
      </c>
      <c r="J215" s="18">
        <f t="shared" si="1"/>
        <v>192</v>
      </c>
      <c r="K215" s="18">
        <f t="shared" si="2"/>
        <v>0</v>
      </c>
    </row>
    <row r="216">
      <c r="G216" s="8">
        <v>77360.0</v>
      </c>
      <c r="H216" s="8">
        <v>2.0</v>
      </c>
      <c r="I216" s="8">
        <v>180.0</v>
      </c>
      <c r="J216" s="18">
        <f t="shared" si="1"/>
        <v>351</v>
      </c>
      <c r="K216" s="18">
        <f t="shared" si="2"/>
        <v>171</v>
      </c>
    </row>
    <row r="217">
      <c r="G217" s="8">
        <v>77360.0</v>
      </c>
      <c r="H217" s="8">
        <v>2.0</v>
      </c>
      <c r="I217" s="8">
        <v>171.0</v>
      </c>
      <c r="J217" s="18">
        <f t="shared" si="1"/>
        <v>351</v>
      </c>
      <c r="K217" s="18">
        <f t="shared" si="2"/>
        <v>180</v>
      </c>
    </row>
    <row r="218">
      <c r="G218" s="8">
        <v>89562.0</v>
      </c>
      <c r="H218" s="8">
        <v>1.0</v>
      </c>
      <c r="I218" s="8">
        <v>82.0</v>
      </c>
      <c r="J218" s="18">
        <f t="shared" si="1"/>
        <v>82</v>
      </c>
      <c r="K218" s="18">
        <f t="shared" si="2"/>
        <v>0</v>
      </c>
    </row>
    <row r="219">
      <c r="G219" s="8">
        <v>90024.0</v>
      </c>
      <c r="H219" s="8">
        <v>1.0</v>
      </c>
      <c r="I219" s="8">
        <v>27.0</v>
      </c>
      <c r="J219" s="18">
        <f t="shared" si="1"/>
        <v>27</v>
      </c>
      <c r="K219" s="18">
        <f t="shared" si="2"/>
        <v>0</v>
      </c>
    </row>
    <row r="220">
      <c r="G220" s="8">
        <v>27924.0</v>
      </c>
      <c r="H220" s="8">
        <v>1.0</v>
      </c>
      <c r="I220" s="8">
        <v>143.0</v>
      </c>
      <c r="J220" s="18">
        <f t="shared" si="1"/>
        <v>143</v>
      </c>
      <c r="K220" s="18">
        <f t="shared" si="2"/>
        <v>0</v>
      </c>
    </row>
    <row r="221">
      <c r="G221" s="8">
        <v>89828.0</v>
      </c>
      <c r="H221" s="8">
        <v>1.0</v>
      </c>
      <c r="I221" s="8">
        <v>55.0</v>
      </c>
      <c r="J221" s="18">
        <f t="shared" si="1"/>
        <v>55</v>
      </c>
      <c r="K221" s="18">
        <f t="shared" si="2"/>
        <v>0</v>
      </c>
    </row>
    <row r="222">
      <c r="G222" s="8">
        <v>89764.0</v>
      </c>
      <c r="H222" s="8">
        <v>1.0</v>
      </c>
      <c r="I222" s="8">
        <v>99.0</v>
      </c>
      <c r="J222" s="18">
        <f t="shared" si="1"/>
        <v>99</v>
      </c>
      <c r="K222" s="18">
        <f t="shared" si="2"/>
        <v>0</v>
      </c>
    </row>
    <row r="223">
      <c r="G223" s="8">
        <v>82567.0</v>
      </c>
      <c r="H223" s="8">
        <v>1.0</v>
      </c>
      <c r="I223" s="8">
        <v>888.0</v>
      </c>
      <c r="J223" s="18">
        <f t="shared" si="1"/>
        <v>888</v>
      </c>
      <c r="K223" s="18">
        <f t="shared" si="2"/>
        <v>0</v>
      </c>
    </row>
    <row r="224">
      <c r="G224" s="8">
        <v>89812.0</v>
      </c>
      <c r="H224" s="8">
        <v>1.0</v>
      </c>
      <c r="I224" s="8">
        <v>150.0</v>
      </c>
      <c r="J224" s="18">
        <f t="shared" si="1"/>
        <v>150</v>
      </c>
      <c r="K224" s="18">
        <f t="shared" si="2"/>
        <v>0</v>
      </c>
    </row>
    <row r="225">
      <c r="I225" s="18">
        <f>SUM(I3:I224)</f>
        <v>32502</v>
      </c>
    </row>
  </sheetData>
  <autoFilter ref="$G$2:$K$22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75"/>
  </cols>
  <sheetData>
    <row r="1">
      <c r="A1" s="1" t="s">
        <v>675</v>
      </c>
      <c r="B1" s="1" t="s">
        <v>676</v>
      </c>
      <c r="C1" s="1" t="s">
        <v>677</v>
      </c>
      <c r="D1" s="1" t="s">
        <v>8</v>
      </c>
      <c r="E1" s="1" t="s">
        <v>14</v>
      </c>
      <c r="F1" s="1" t="s">
        <v>678</v>
      </c>
      <c r="G1" s="1" t="s">
        <v>10</v>
      </c>
      <c r="H1" s="1" t="s">
        <v>679</v>
      </c>
      <c r="I1" s="1" t="s">
        <v>680</v>
      </c>
      <c r="J1" s="1" t="s">
        <v>681</v>
      </c>
      <c r="K1" s="1" t="s">
        <v>682</v>
      </c>
      <c r="L1" s="1" t="s">
        <v>683</v>
      </c>
      <c r="M1" s="1" t="s">
        <v>684</v>
      </c>
      <c r="N1" s="1" t="s">
        <v>685</v>
      </c>
      <c r="O1" s="1" t="s">
        <v>34</v>
      </c>
      <c r="P1" s="1" t="s">
        <v>35</v>
      </c>
      <c r="Q1" s="1" t="s">
        <v>36</v>
      </c>
      <c r="R1" s="1" t="s">
        <v>37</v>
      </c>
    </row>
    <row r="2">
      <c r="A2" s="4">
        <v>89976.0</v>
      </c>
      <c r="B2" s="3" t="s">
        <v>147</v>
      </c>
      <c r="C2" s="3" t="s">
        <v>148</v>
      </c>
      <c r="D2" s="4">
        <v>7.016547563E9</v>
      </c>
      <c r="E2" s="3" t="s">
        <v>101</v>
      </c>
      <c r="F2" s="3" t="s">
        <v>54</v>
      </c>
      <c r="G2" s="3" t="s">
        <v>47</v>
      </c>
      <c r="H2" s="9">
        <v>46058.0</v>
      </c>
      <c r="I2" s="4" t="s">
        <v>245</v>
      </c>
      <c r="J2" s="4">
        <v>40313.0</v>
      </c>
      <c r="K2" s="3" t="s">
        <v>686</v>
      </c>
      <c r="L2" s="3" t="s">
        <v>687</v>
      </c>
      <c r="M2" s="4">
        <v>1.0</v>
      </c>
      <c r="N2" s="12"/>
      <c r="O2" s="4">
        <v>0.0</v>
      </c>
      <c r="P2" s="4">
        <v>2.0</v>
      </c>
      <c r="Q2" s="4">
        <v>2.0</v>
      </c>
      <c r="R2" s="4">
        <v>0.0</v>
      </c>
    </row>
    <row r="3">
      <c r="A3" s="4">
        <v>89118.0</v>
      </c>
      <c r="B3" s="3" t="s">
        <v>688</v>
      </c>
      <c r="C3" s="3" t="s">
        <v>689</v>
      </c>
      <c r="D3" s="4">
        <v>8.652320276E9</v>
      </c>
      <c r="E3" s="3" t="s">
        <v>76</v>
      </c>
      <c r="F3" s="3" t="s">
        <v>87</v>
      </c>
      <c r="G3" s="3" t="s">
        <v>47</v>
      </c>
      <c r="H3" s="9">
        <v>46026.0</v>
      </c>
      <c r="I3" s="9">
        <v>46117.0</v>
      </c>
      <c r="J3" s="4">
        <v>40217.0</v>
      </c>
      <c r="K3" s="3" t="s">
        <v>690</v>
      </c>
      <c r="L3" s="3" t="s">
        <v>691</v>
      </c>
      <c r="M3" s="4">
        <v>1.0</v>
      </c>
      <c r="N3" s="12"/>
      <c r="O3" s="4">
        <v>0.0</v>
      </c>
      <c r="P3" s="4">
        <v>5.0</v>
      </c>
      <c r="Q3" s="4">
        <v>0.0</v>
      </c>
      <c r="R3" s="4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692</v>
      </c>
      <c r="B1" s="1" t="s">
        <v>693</v>
      </c>
      <c r="C1" s="1" t="s">
        <v>676</v>
      </c>
      <c r="D1" s="1" t="s">
        <v>677</v>
      </c>
      <c r="E1" s="1" t="s">
        <v>8</v>
      </c>
      <c r="F1" s="1" t="s">
        <v>14</v>
      </c>
      <c r="G1" s="1" t="s">
        <v>694</v>
      </c>
      <c r="H1" s="1" t="s">
        <v>25</v>
      </c>
      <c r="I1" s="1" t="s">
        <v>26</v>
      </c>
      <c r="J1" s="1" t="s">
        <v>678</v>
      </c>
      <c r="K1" s="1" t="s">
        <v>695</v>
      </c>
      <c r="L1" s="1" t="s">
        <v>696</v>
      </c>
      <c r="M1" s="1" t="s">
        <v>697</v>
      </c>
      <c r="N1" s="1" t="s">
        <v>698</v>
      </c>
      <c r="O1" s="1" t="s">
        <v>699</v>
      </c>
      <c r="P1" s="1" t="s">
        <v>700</v>
      </c>
      <c r="Q1" s="1" t="s">
        <v>701</v>
      </c>
      <c r="R1" s="1" t="s">
        <v>702</v>
      </c>
      <c r="S1" s="1" t="s">
        <v>703</v>
      </c>
      <c r="T1" s="1" t="s">
        <v>704</v>
      </c>
      <c r="U1" s="1" t="s">
        <v>705</v>
      </c>
      <c r="V1" s="1" t="s">
        <v>706</v>
      </c>
      <c r="W1" s="1" t="s">
        <v>707</v>
      </c>
    </row>
    <row r="2">
      <c r="A2" s="3" t="s">
        <v>708</v>
      </c>
      <c r="B2" s="4">
        <v>32174.0</v>
      </c>
      <c r="C2" s="3" t="s">
        <v>709</v>
      </c>
      <c r="D2" s="3" t="s">
        <v>710</v>
      </c>
      <c r="E2" s="4">
        <v>9.176382277E9</v>
      </c>
      <c r="F2" s="3" t="s">
        <v>51</v>
      </c>
      <c r="G2" s="3" t="s">
        <v>44</v>
      </c>
      <c r="H2" s="4">
        <v>6.0</v>
      </c>
      <c r="I2" s="3" t="s">
        <v>80</v>
      </c>
      <c r="J2" s="3" t="s">
        <v>54</v>
      </c>
      <c r="K2" s="3" t="s">
        <v>142</v>
      </c>
      <c r="L2" s="3" t="s">
        <v>124</v>
      </c>
      <c r="M2" s="3" t="s">
        <v>711</v>
      </c>
      <c r="N2" s="4">
        <v>40286.0</v>
      </c>
      <c r="O2" s="4">
        <v>90034.0</v>
      </c>
      <c r="P2" s="5">
        <v>46146.5734375</v>
      </c>
      <c r="Q2" s="4">
        <v>656.0</v>
      </c>
      <c r="R2" s="5">
        <v>46148.533587962964</v>
      </c>
      <c r="S2" s="4">
        <v>656.0</v>
      </c>
      <c r="T2" s="5">
        <v>46146.5734375</v>
      </c>
      <c r="V2" s="3" t="s">
        <v>712</v>
      </c>
      <c r="W2" s="9">
        <v>46178.0</v>
      </c>
    </row>
    <row r="3">
      <c r="A3" s="3" t="s">
        <v>708</v>
      </c>
      <c r="B3" s="4">
        <v>32177.0</v>
      </c>
      <c r="C3" s="3" t="s">
        <v>713</v>
      </c>
      <c r="D3" s="3" t="s">
        <v>714</v>
      </c>
      <c r="E3" s="4">
        <v>9.917217778E9</v>
      </c>
      <c r="F3" s="3" t="s">
        <v>65</v>
      </c>
      <c r="G3" s="3" t="s">
        <v>44</v>
      </c>
      <c r="H3" s="4">
        <v>7.0</v>
      </c>
      <c r="I3" s="3" t="s">
        <v>152</v>
      </c>
      <c r="J3" s="3" t="s">
        <v>54</v>
      </c>
      <c r="K3" s="3" t="s">
        <v>119</v>
      </c>
      <c r="L3" s="3" t="s">
        <v>47</v>
      </c>
      <c r="M3" s="3" t="s">
        <v>713</v>
      </c>
      <c r="N3" s="4">
        <v>40313.0</v>
      </c>
      <c r="O3" s="4">
        <v>90161.0</v>
      </c>
      <c r="P3" s="5">
        <v>46160.71561342593</v>
      </c>
      <c r="Q3" s="4">
        <v>90161.0</v>
      </c>
      <c r="R3" s="5">
        <v>46161.43020833333</v>
      </c>
      <c r="S3" s="4">
        <v>90161.0</v>
      </c>
      <c r="T3" s="5">
        <v>46160.71561342593</v>
      </c>
      <c r="V3" s="3" t="s">
        <v>715</v>
      </c>
      <c r="W3" s="4" t="s">
        <v>118</v>
      </c>
    </row>
  </sheetData>
  <mergeCells count="2">
    <mergeCell ref="T2:U2"/>
    <mergeCell ref="T3:U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10" max="10" width="29.25"/>
  </cols>
  <sheetData>
    <row r="1">
      <c r="A1" s="1" t="s">
        <v>716</v>
      </c>
      <c r="B1" s="1" t="s">
        <v>717</v>
      </c>
      <c r="C1" s="1" t="s">
        <v>718</v>
      </c>
      <c r="D1" s="1" t="s">
        <v>719</v>
      </c>
      <c r="E1" s="1" t="s">
        <v>677</v>
      </c>
      <c r="F1" s="1" t="s">
        <v>8</v>
      </c>
      <c r="G1" s="1" t="s">
        <v>720</v>
      </c>
      <c r="H1" s="1" t="s">
        <v>678</v>
      </c>
      <c r="I1" s="1" t="s">
        <v>721</v>
      </c>
      <c r="J1" s="1" t="s">
        <v>10</v>
      </c>
      <c r="K1" s="1" t="s">
        <v>722</v>
      </c>
    </row>
    <row r="2">
      <c r="A2" s="4">
        <v>90038.0</v>
      </c>
      <c r="B2" s="3" t="s">
        <v>723</v>
      </c>
      <c r="C2" s="5">
        <v>46143.50556712963</v>
      </c>
      <c r="D2" s="3" t="s">
        <v>724</v>
      </c>
      <c r="E2" s="3" t="s">
        <v>725</v>
      </c>
      <c r="F2" s="4">
        <v>6.006248062E9</v>
      </c>
      <c r="G2" s="3" t="s">
        <v>50</v>
      </c>
      <c r="H2" s="3" t="s">
        <v>140</v>
      </c>
      <c r="I2" s="3" t="s">
        <v>139</v>
      </c>
      <c r="J2" s="3" t="s">
        <v>47</v>
      </c>
    </row>
    <row r="3">
      <c r="A3" s="4">
        <v>90039.0</v>
      </c>
      <c r="B3" s="3" t="s">
        <v>726</v>
      </c>
      <c r="C3" s="5">
        <v>46143.52019675926</v>
      </c>
      <c r="D3" s="3" t="s">
        <v>727</v>
      </c>
      <c r="E3" s="3" t="s">
        <v>728</v>
      </c>
      <c r="F3" s="4">
        <v>7.002819319E9</v>
      </c>
      <c r="G3" s="3" t="s">
        <v>50</v>
      </c>
      <c r="H3" s="3" t="s">
        <v>628</v>
      </c>
      <c r="I3" s="3" t="s">
        <v>628</v>
      </c>
      <c r="J3" s="3" t="s">
        <v>47</v>
      </c>
    </row>
    <row r="4">
      <c r="A4" s="4">
        <v>90040.0</v>
      </c>
      <c r="B4" s="3" t="s">
        <v>729</v>
      </c>
      <c r="C4" s="5">
        <v>46143.5324537037</v>
      </c>
      <c r="D4" s="3" t="s">
        <v>724</v>
      </c>
      <c r="E4" s="3" t="s">
        <v>730</v>
      </c>
      <c r="F4" s="4">
        <v>9.999009008E9</v>
      </c>
      <c r="G4" s="3" t="s">
        <v>50</v>
      </c>
      <c r="H4" s="3" t="s">
        <v>140</v>
      </c>
      <c r="I4" s="3" t="s">
        <v>139</v>
      </c>
      <c r="J4" s="3" t="s">
        <v>47</v>
      </c>
    </row>
    <row r="5">
      <c r="A5" s="4">
        <v>90041.0</v>
      </c>
      <c r="B5" s="3" t="s">
        <v>731</v>
      </c>
      <c r="C5" s="5">
        <v>46143.538981481484</v>
      </c>
      <c r="D5" s="3" t="s">
        <v>724</v>
      </c>
      <c r="E5" s="3" t="s">
        <v>732</v>
      </c>
      <c r="F5" s="4">
        <v>7.397407829E9</v>
      </c>
      <c r="G5" s="3" t="s">
        <v>50</v>
      </c>
      <c r="H5" s="3" t="s">
        <v>112</v>
      </c>
      <c r="I5" s="3" t="s">
        <v>508</v>
      </c>
      <c r="J5" s="3" t="s">
        <v>47</v>
      </c>
    </row>
    <row r="6">
      <c r="A6" s="4">
        <v>90042.0</v>
      </c>
      <c r="B6" s="3" t="s">
        <v>733</v>
      </c>
      <c r="C6" s="5">
        <v>46143.594375</v>
      </c>
      <c r="D6" s="3" t="s">
        <v>724</v>
      </c>
      <c r="E6" s="12"/>
      <c r="F6" s="12"/>
      <c r="G6" s="3" t="s">
        <v>50</v>
      </c>
      <c r="H6" s="3" t="s">
        <v>54</v>
      </c>
      <c r="I6" s="3" t="s">
        <v>734</v>
      </c>
      <c r="J6" s="3" t="s">
        <v>47</v>
      </c>
    </row>
    <row r="7">
      <c r="A7" s="4">
        <v>90043.0</v>
      </c>
      <c r="B7" s="3" t="s">
        <v>735</v>
      </c>
      <c r="C7" s="5">
        <v>46143.61493055556</v>
      </c>
      <c r="D7" s="3" t="s">
        <v>724</v>
      </c>
      <c r="E7" s="3" t="s">
        <v>736</v>
      </c>
      <c r="F7" s="4">
        <v>6.36400446E9</v>
      </c>
      <c r="G7" s="3" t="s">
        <v>50</v>
      </c>
      <c r="H7" s="3" t="s">
        <v>162</v>
      </c>
      <c r="I7" s="3" t="s">
        <v>737</v>
      </c>
      <c r="J7" s="3" t="s">
        <v>47</v>
      </c>
    </row>
    <row r="8">
      <c r="A8" s="4">
        <v>90044.0</v>
      </c>
      <c r="B8" s="3" t="s">
        <v>738</v>
      </c>
      <c r="C8" s="5">
        <v>46143.77875</v>
      </c>
      <c r="D8" s="3" t="s">
        <v>727</v>
      </c>
      <c r="E8" s="3" t="s">
        <v>739</v>
      </c>
      <c r="F8" s="4">
        <v>7.651832743E9</v>
      </c>
      <c r="G8" s="3" t="s">
        <v>50</v>
      </c>
      <c r="H8" s="3" t="s">
        <v>54</v>
      </c>
      <c r="I8" s="3" t="s">
        <v>740</v>
      </c>
      <c r="J8" s="3" t="s">
        <v>47</v>
      </c>
    </row>
    <row r="9">
      <c r="A9" s="4">
        <v>90045.0</v>
      </c>
      <c r="B9" s="3" t="s">
        <v>741</v>
      </c>
      <c r="C9" s="5">
        <v>46143.779490740744</v>
      </c>
      <c r="D9" s="3" t="s">
        <v>724</v>
      </c>
      <c r="E9" s="3" t="s">
        <v>742</v>
      </c>
      <c r="F9" s="12" t="str">
        <f>+91 79995-67229</f>
        <v>#ERROR!</v>
      </c>
      <c r="G9" s="3" t="s">
        <v>50</v>
      </c>
      <c r="H9" s="3" t="s">
        <v>217</v>
      </c>
      <c r="I9" s="3" t="s">
        <v>743</v>
      </c>
      <c r="J9" s="3" t="s">
        <v>47</v>
      </c>
    </row>
    <row r="10">
      <c r="A10" s="4">
        <v>90046.0</v>
      </c>
      <c r="B10" s="3" t="s">
        <v>744</v>
      </c>
      <c r="C10" s="5">
        <v>46143.90130787037</v>
      </c>
      <c r="D10" s="3" t="s">
        <v>724</v>
      </c>
      <c r="E10" s="3" t="s">
        <v>745</v>
      </c>
      <c r="F10" s="4">
        <v>8.910974092E9</v>
      </c>
      <c r="G10" s="3" t="s">
        <v>50</v>
      </c>
      <c r="H10" s="3" t="s">
        <v>175</v>
      </c>
      <c r="I10" s="3" t="s">
        <v>174</v>
      </c>
      <c r="J10" s="3" t="s">
        <v>47</v>
      </c>
    </row>
    <row r="11">
      <c r="A11" s="4">
        <v>90047.0</v>
      </c>
      <c r="B11" s="3" t="s">
        <v>746</v>
      </c>
      <c r="C11" s="5">
        <v>46144.00628472222</v>
      </c>
      <c r="D11" s="3" t="s">
        <v>724</v>
      </c>
      <c r="E11" s="3" t="s">
        <v>747</v>
      </c>
      <c r="F11" s="4">
        <v>9.944252852E9</v>
      </c>
      <c r="G11" s="3" t="s">
        <v>50</v>
      </c>
      <c r="H11" s="3" t="s">
        <v>112</v>
      </c>
      <c r="I11" s="3" t="s">
        <v>508</v>
      </c>
      <c r="J11" s="3" t="s">
        <v>47</v>
      </c>
    </row>
    <row r="12">
      <c r="A12" s="4">
        <v>90048.0</v>
      </c>
      <c r="B12" s="3" t="s">
        <v>748</v>
      </c>
      <c r="C12" s="5">
        <v>46144.02092592593</v>
      </c>
      <c r="D12" s="3" t="s">
        <v>724</v>
      </c>
      <c r="E12" s="3" t="s">
        <v>749</v>
      </c>
      <c r="F12" s="4">
        <v>7.979020157E9</v>
      </c>
      <c r="G12" s="3" t="s">
        <v>50</v>
      </c>
      <c r="H12" s="3" t="s">
        <v>750</v>
      </c>
      <c r="I12" s="3" t="s">
        <v>751</v>
      </c>
      <c r="J12" s="3" t="s">
        <v>47</v>
      </c>
    </row>
    <row r="13">
      <c r="A13" s="4">
        <v>90049.0</v>
      </c>
      <c r="B13" s="3" t="s">
        <v>752</v>
      </c>
      <c r="C13" s="5">
        <v>46144.209814814814</v>
      </c>
      <c r="D13" s="3" t="s">
        <v>727</v>
      </c>
      <c r="E13" s="3" t="s">
        <v>753</v>
      </c>
      <c r="F13" s="4">
        <v>4.1667161E9</v>
      </c>
      <c r="G13" s="3" t="s">
        <v>754</v>
      </c>
      <c r="H13" s="3" t="s">
        <v>755</v>
      </c>
      <c r="I13" s="3" t="s">
        <v>756</v>
      </c>
      <c r="J13" s="3" t="s">
        <v>47</v>
      </c>
    </row>
    <row r="14">
      <c r="A14" s="4">
        <v>90050.0</v>
      </c>
      <c r="B14" s="3" t="s">
        <v>757</v>
      </c>
      <c r="C14" s="5">
        <v>46144.504594907405</v>
      </c>
      <c r="D14" s="3" t="s">
        <v>724</v>
      </c>
      <c r="E14" s="3" t="s">
        <v>758</v>
      </c>
      <c r="F14" s="4">
        <v>9.413883426E9</v>
      </c>
      <c r="G14" s="3" t="s">
        <v>50</v>
      </c>
      <c r="H14" s="3" t="s">
        <v>292</v>
      </c>
      <c r="I14" s="3" t="s">
        <v>759</v>
      </c>
      <c r="J14" s="3" t="s">
        <v>47</v>
      </c>
    </row>
    <row r="15">
      <c r="A15" s="4">
        <v>90051.0</v>
      </c>
      <c r="B15" s="3" t="s">
        <v>760</v>
      </c>
      <c r="C15" s="5">
        <v>46144.509791666664</v>
      </c>
      <c r="D15" s="3" t="s">
        <v>727</v>
      </c>
      <c r="E15" s="3" t="s">
        <v>761</v>
      </c>
      <c r="F15" s="4">
        <v>8.520812841E9</v>
      </c>
      <c r="G15" s="3" t="s">
        <v>50</v>
      </c>
      <c r="H15" s="3" t="s">
        <v>750</v>
      </c>
      <c r="I15" s="3" t="s">
        <v>762</v>
      </c>
      <c r="J15" s="3" t="s">
        <v>47</v>
      </c>
    </row>
    <row r="16">
      <c r="A16" s="4">
        <v>90052.0</v>
      </c>
      <c r="B16" s="3" t="s">
        <v>763</v>
      </c>
      <c r="C16" s="5">
        <v>46144.51332175926</v>
      </c>
      <c r="D16" s="3" t="s">
        <v>724</v>
      </c>
      <c r="E16" s="3" t="s">
        <v>764</v>
      </c>
      <c r="F16" s="4">
        <v>7.081739035E9</v>
      </c>
      <c r="G16" s="3" t="s">
        <v>50</v>
      </c>
      <c r="H16" s="3" t="s">
        <v>54</v>
      </c>
      <c r="I16" s="3" t="s">
        <v>765</v>
      </c>
      <c r="J16" s="3" t="s">
        <v>47</v>
      </c>
    </row>
    <row r="17">
      <c r="A17" s="4">
        <v>90053.0</v>
      </c>
      <c r="B17" s="3" t="s">
        <v>766</v>
      </c>
      <c r="C17" s="5">
        <v>46144.51467592592</v>
      </c>
      <c r="D17" s="3" t="s">
        <v>727</v>
      </c>
      <c r="E17" s="3" t="s">
        <v>767</v>
      </c>
      <c r="F17" s="4">
        <v>7.827565938E9</v>
      </c>
      <c r="G17" s="3" t="s">
        <v>50</v>
      </c>
      <c r="H17" s="3" t="s">
        <v>135</v>
      </c>
      <c r="I17" s="3" t="s">
        <v>136</v>
      </c>
      <c r="J17" s="3" t="s">
        <v>47</v>
      </c>
    </row>
    <row r="18">
      <c r="A18" s="4">
        <v>90054.0</v>
      </c>
      <c r="B18" s="3" t="s">
        <v>768</v>
      </c>
      <c r="C18" s="5">
        <v>46144.56576388889</v>
      </c>
      <c r="D18" s="3" t="s">
        <v>724</v>
      </c>
      <c r="E18" s="3" t="s">
        <v>769</v>
      </c>
      <c r="F18" s="4">
        <v>6.283746259E9</v>
      </c>
      <c r="G18" s="3" t="s">
        <v>50</v>
      </c>
      <c r="H18" s="3" t="s">
        <v>64</v>
      </c>
      <c r="I18" s="3" t="s">
        <v>84</v>
      </c>
      <c r="J18" s="3" t="s">
        <v>47</v>
      </c>
    </row>
    <row r="19">
      <c r="A19" s="4">
        <v>90055.0</v>
      </c>
      <c r="B19" s="3" t="s">
        <v>770</v>
      </c>
      <c r="C19" s="5">
        <v>46144.61913194445</v>
      </c>
      <c r="D19" s="3" t="s">
        <v>727</v>
      </c>
      <c r="E19" s="3" t="s">
        <v>771</v>
      </c>
      <c r="F19" s="4">
        <v>7.325854577E9</v>
      </c>
      <c r="G19" s="3" t="s">
        <v>50</v>
      </c>
      <c r="H19" s="3" t="s">
        <v>100</v>
      </c>
      <c r="I19" s="3" t="s">
        <v>99</v>
      </c>
      <c r="J19" s="3" t="s">
        <v>47</v>
      </c>
    </row>
    <row r="20">
      <c r="A20" s="4">
        <v>90056.0</v>
      </c>
      <c r="B20" s="3" t="s">
        <v>772</v>
      </c>
      <c r="C20" s="5">
        <v>46144.62483796296</v>
      </c>
      <c r="D20" s="3" t="s">
        <v>724</v>
      </c>
      <c r="E20" s="3" t="s">
        <v>773</v>
      </c>
      <c r="F20" s="4">
        <v>9.392553534E9</v>
      </c>
      <c r="G20" s="3" t="s">
        <v>50</v>
      </c>
      <c r="H20" s="3" t="s">
        <v>750</v>
      </c>
      <c r="I20" s="3" t="s">
        <v>774</v>
      </c>
      <c r="J20" s="3" t="s">
        <v>47</v>
      </c>
    </row>
    <row r="21">
      <c r="A21" s="4">
        <v>90057.0</v>
      </c>
      <c r="B21" s="3" t="s">
        <v>775</v>
      </c>
      <c r="C21" s="5">
        <v>46144.62626157407</v>
      </c>
      <c r="D21" s="3" t="s">
        <v>724</v>
      </c>
      <c r="E21" s="3" t="s">
        <v>776</v>
      </c>
      <c r="F21" s="4">
        <v>9.532993734E9</v>
      </c>
      <c r="G21" s="3" t="s">
        <v>50</v>
      </c>
      <c r="H21" s="3" t="s">
        <v>54</v>
      </c>
      <c r="I21" s="3" t="s">
        <v>105</v>
      </c>
      <c r="J21" s="3" t="s">
        <v>47</v>
      </c>
    </row>
    <row r="22">
      <c r="A22" s="4">
        <v>90058.0</v>
      </c>
      <c r="B22" s="3" t="s">
        <v>777</v>
      </c>
      <c r="C22" s="5">
        <v>46144.64097222222</v>
      </c>
      <c r="D22" s="3" t="s">
        <v>727</v>
      </c>
      <c r="E22" s="3" t="s">
        <v>778</v>
      </c>
      <c r="F22" s="4">
        <v>8.527806103E9</v>
      </c>
      <c r="G22" s="3" t="s">
        <v>50</v>
      </c>
      <c r="H22" s="3" t="s">
        <v>140</v>
      </c>
      <c r="I22" s="3" t="s">
        <v>140</v>
      </c>
      <c r="J22" s="3" t="s">
        <v>502</v>
      </c>
    </row>
    <row r="23">
      <c r="A23" s="4">
        <v>90059.0</v>
      </c>
      <c r="B23" s="3" t="s">
        <v>779</v>
      </c>
      <c r="C23" s="5">
        <v>46144.67039351852</v>
      </c>
      <c r="D23" s="3" t="s">
        <v>727</v>
      </c>
      <c r="E23" s="3" t="s">
        <v>780</v>
      </c>
      <c r="F23" s="4">
        <v>6.29994104E9</v>
      </c>
      <c r="G23" s="3" t="s">
        <v>50</v>
      </c>
      <c r="H23" s="3" t="s">
        <v>135</v>
      </c>
      <c r="I23" s="3" t="s">
        <v>781</v>
      </c>
      <c r="J23" s="3" t="s">
        <v>47</v>
      </c>
    </row>
    <row r="24">
      <c r="A24" s="4">
        <v>90060.0</v>
      </c>
      <c r="B24" s="3" t="s">
        <v>782</v>
      </c>
      <c r="C24" s="5">
        <v>46144.69318287037</v>
      </c>
      <c r="D24" s="3" t="s">
        <v>727</v>
      </c>
      <c r="E24" s="3" t="s">
        <v>783</v>
      </c>
      <c r="F24" s="4">
        <v>9.058881352E9</v>
      </c>
      <c r="G24" s="3" t="s">
        <v>50</v>
      </c>
      <c r="H24" s="3" t="s">
        <v>64</v>
      </c>
      <c r="I24" s="3" t="s">
        <v>784</v>
      </c>
      <c r="J24" s="3" t="s">
        <v>47</v>
      </c>
    </row>
    <row r="25">
      <c r="A25" s="4">
        <v>90061.0</v>
      </c>
      <c r="B25" s="3" t="s">
        <v>785</v>
      </c>
      <c r="C25" s="5">
        <v>46144.82769675926</v>
      </c>
      <c r="D25" s="3" t="s">
        <v>727</v>
      </c>
      <c r="E25" s="3" t="s">
        <v>786</v>
      </c>
      <c r="F25" s="4">
        <v>6.307367419E9</v>
      </c>
      <c r="G25" s="3" t="s">
        <v>50</v>
      </c>
      <c r="H25" s="3" t="s">
        <v>54</v>
      </c>
      <c r="I25" s="3" t="s">
        <v>105</v>
      </c>
      <c r="J25" s="3" t="s">
        <v>47</v>
      </c>
    </row>
    <row r="26">
      <c r="A26" s="4">
        <v>90062.0</v>
      </c>
      <c r="B26" s="3" t="s">
        <v>787</v>
      </c>
      <c r="C26" s="5">
        <v>46144.83236111111</v>
      </c>
      <c r="D26" s="3" t="s">
        <v>724</v>
      </c>
      <c r="E26" s="3" t="s">
        <v>788</v>
      </c>
      <c r="F26" s="4">
        <v>7.666121059E9</v>
      </c>
      <c r="G26" s="3" t="s">
        <v>50</v>
      </c>
      <c r="H26" s="3" t="s">
        <v>64</v>
      </c>
      <c r="I26" s="3" t="s">
        <v>84</v>
      </c>
      <c r="J26" s="3" t="s">
        <v>47</v>
      </c>
    </row>
    <row r="27">
      <c r="A27" s="4">
        <v>90063.0</v>
      </c>
      <c r="B27" s="3" t="s">
        <v>789</v>
      </c>
      <c r="C27" s="5">
        <v>46144.848078703704</v>
      </c>
      <c r="D27" s="3" t="s">
        <v>724</v>
      </c>
      <c r="E27" s="3" t="s">
        <v>790</v>
      </c>
      <c r="F27" s="4">
        <v>9.874208347E9</v>
      </c>
      <c r="G27" s="3" t="s">
        <v>50</v>
      </c>
      <c r="H27" s="3" t="s">
        <v>175</v>
      </c>
      <c r="I27" s="3" t="s">
        <v>791</v>
      </c>
      <c r="J27" s="3" t="s">
        <v>47</v>
      </c>
    </row>
    <row r="28">
      <c r="A28" s="4">
        <v>90064.0</v>
      </c>
      <c r="B28" s="3" t="s">
        <v>792</v>
      </c>
      <c r="C28" s="5">
        <v>46144.9034375</v>
      </c>
      <c r="D28" s="3" t="s">
        <v>727</v>
      </c>
      <c r="E28" s="3" t="s">
        <v>793</v>
      </c>
      <c r="F28" s="4">
        <v>7.738342995E9</v>
      </c>
      <c r="G28" s="3" t="s">
        <v>50</v>
      </c>
      <c r="H28" s="3" t="s">
        <v>64</v>
      </c>
      <c r="I28" s="3" t="s">
        <v>84</v>
      </c>
      <c r="J28" s="3" t="s">
        <v>47</v>
      </c>
    </row>
    <row r="29">
      <c r="A29" s="4">
        <v>90065.0</v>
      </c>
      <c r="B29" s="3" t="s">
        <v>794</v>
      </c>
      <c r="C29" s="5">
        <v>46144.910046296296</v>
      </c>
      <c r="D29" s="3" t="s">
        <v>724</v>
      </c>
      <c r="E29" s="3" t="s">
        <v>795</v>
      </c>
      <c r="F29" s="19">
        <v>9.1892E11</v>
      </c>
      <c r="G29" s="3" t="s">
        <v>405</v>
      </c>
      <c r="H29" s="3" t="s">
        <v>404</v>
      </c>
      <c r="I29" s="3" t="s">
        <v>796</v>
      </c>
      <c r="J29" s="12"/>
      <c r="K29" s="12"/>
    </row>
    <row r="30">
      <c r="A30" s="4">
        <v>90066.0</v>
      </c>
      <c r="B30" s="3" t="s">
        <v>797</v>
      </c>
      <c r="C30" s="5">
        <v>46144.94200231481</v>
      </c>
      <c r="D30" s="3" t="s">
        <v>724</v>
      </c>
      <c r="E30" s="3" t="s">
        <v>798</v>
      </c>
      <c r="F30" s="4">
        <v>9.632433755E9</v>
      </c>
      <c r="G30" s="3" t="s">
        <v>50</v>
      </c>
      <c r="H30" s="3" t="s">
        <v>162</v>
      </c>
      <c r="I30" s="3" t="s">
        <v>161</v>
      </c>
      <c r="J30" s="3" t="s">
        <v>47</v>
      </c>
    </row>
    <row r="31">
      <c r="A31" s="4">
        <v>90067.0</v>
      </c>
      <c r="B31" s="3" t="s">
        <v>799</v>
      </c>
      <c r="C31" s="5">
        <v>46144.992476851854</v>
      </c>
      <c r="D31" s="3" t="s">
        <v>724</v>
      </c>
      <c r="E31" s="3" t="s">
        <v>800</v>
      </c>
      <c r="F31" s="4">
        <v>8.527859082E9</v>
      </c>
      <c r="G31" s="3" t="s">
        <v>50</v>
      </c>
      <c r="H31" s="3" t="s">
        <v>54</v>
      </c>
      <c r="I31" s="3" t="s">
        <v>383</v>
      </c>
      <c r="J31" s="3" t="s">
        <v>47</v>
      </c>
    </row>
    <row r="32">
      <c r="A32" s="4">
        <v>90068.0</v>
      </c>
      <c r="B32" s="3" t="s">
        <v>801</v>
      </c>
      <c r="C32" s="5">
        <v>46144.99420138889</v>
      </c>
      <c r="D32" s="3" t="s">
        <v>727</v>
      </c>
      <c r="E32" s="3" t="s">
        <v>802</v>
      </c>
      <c r="F32" s="4">
        <v>7.542988894E9</v>
      </c>
      <c r="G32" s="3" t="s">
        <v>50</v>
      </c>
      <c r="H32" s="3" t="s">
        <v>135</v>
      </c>
      <c r="I32" s="3" t="s">
        <v>803</v>
      </c>
      <c r="J32" s="3" t="s">
        <v>47</v>
      </c>
    </row>
    <row r="33">
      <c r="A33" s="4">
        <v>90069.0</v>
      </c>
      <c r="B33" s="3" t="s">
        <v>804</v>
      </c>
      <c r="C33" s="5">
        <v>46145.0150462963</v>
      </c>
      <c r="D33" s="3" t="s">
        <v>724</v>
      </c>
      <c r="E33" s="3" t="s">
        <v>805</v>
      </c>
      <c r="F33" s="4">
        <v>8.053901731E9</v>
      </c>
      <c r="G33" s="3" t="s">
        <v>50</v>
      </c>
      <c r="H33" s="3" t="s">
        <v>117</v>
      </c>
      <c r="I33" s="3" t="s">
        <v>806</v>
      </c>
      <c r="J33" s="3" t="s">
        <v>47</v>
      </c>
    </row>
    <row r="34">
      <c r="A34" s="4">
        <v>90070.0</v>
      </c>
      <c r="B34" s="3" t="s">
        <v>807</v>
      </c>
      <c r="C34" s="5">
        <v>46145.0796875</v>
      </c>
      <c r="D34" s="3" t="s">
        <v>727</v>
      </c>
      <c r="E34" s="3" t="s">
        <v>808</v>
      </c>
      <c r="F34" s="12" t="str">
        <f>+44 7919637488</f>
        <v>#ERROR!</v>
      </c>
      <c r="G34" s="3" t="s">
        <v>809</v>
      </c>
      <c r="H34" s="3" t="s">
        <v>810</v>
      </c>
      <c r="I34" s="3" t="s">
        <v>810</v>
      </c>
      <c r="J34" s="3" t="s">
        <v>47</v>
      </c>
    </row>
    <row r="35">
      <c r="A35" s="4">
        <v>90071.0</v>
      </c>
      <c r="B35" s="3" t="s">
        <v>811</v>
      </c>
      <c r="C35" s="5">
        <v>46145.11340277778</v>
      </c>
      <c r="D35" s="3" t="s">
        <v>724</v>
      </c>
      <c r="E35" s="3" t="s">
        <v>812</v>
      </c>
      <c r="F35" s="4">
        <v>7.602676374E9</v>
      </c>
      <c r="G35" s="3" t="s">
        <v>612</v>
      </c>
      <c r="H35" s="3" t="s">
        <v>813</v>
      </c>
      <c r="I35" s="3" t="s">
        <v>814</v>
      </c>
      <c r="J35" s="3" t="s">
        <v>47</v>
      </c>
    </row>
    <row r="36">
      <c r="A36" s="4">
        <v>90072.0</v>
      </c>
      <c r="B36" s="3" t="s">
        <v>815</v>
      </c>
      <c r="C36" s="5">
        <v>46145.45775462963</v>
      </c>
      <c r="D36" s="3" t="s">
        <v>724</v>
      </c>
      <c r="E36" s="12"/>
      <c r="F36" s="12"/>
      <c r="G36" s="3" t="s">
        <v>50</v>
      </c>
      <c r="H36" s="3" t="s">
        <v>54</v>
      </c>
      <c r="I36" s="3" t="s">
        <v>816</v>
      </c>
      <c r="J36" s="3" t="s">
        <v>47</v>
      </c>
    </row>
    <row r="37">
      <c r="A37" s="4">
        <v>90076.0</v>
      </c>
      <c r="B37" s="3" t="s">
        <v>817</v>
      </c>
      <c r="C37" s="5">
        <v>46145.541284722225</v>
      </c>
      <c r="D37" s="3" t="s">
        <v>724</v>
      </c>
      <c r="E37" s="3" t="s">
        <v>818</v>
      </c>
      <c r="F37" s="4">
        <v>9.303340534E9</v>
      </c>
      <c r="G37" s="3" t="s">
        <v>50</v>
      </c>
      <c r="H37" s="3" t="s">
        <v>157</v>
      </c>
      <c r="I37" s="3" t="s">
        <v>819</v>
      </c>
      <c r="J37" s="3" t="s">
        <v>47</v>
      </c>
    </row>
    <row r="38">
      <c r="A38" s="4">
        <v>90077.0</v>
      </c>
      <c r="B38" s="3" t="s">
        <v>820</v>
      </c>
      <c r="C38" s="5">
        <v>46145.67251157408</v>
      </c>
      <c r="D38" s="3" t="s">
        <v>724</v>
      </c>
      <c r="E38" s="3" t="s">
        <v>821</v>
      </c>
      <c r="F38" s="12" t="str">
        <f>+91 889 1425440</f>
        <v>#ERROR!</v>
      </c>
      <c r="G38" s="3" t="s">
        <v>50</v>
      </c>
      <c r="H38" s="3" t="s">
        <v>349</v>
      </c>
      <c r="I38" s="3" t="s">
        <v>822</v>
      </c>
      <c r="J38" s="3" t="s">
        <v>47</v>
      </c>
    </row>
    <row r="39">
      <c r="A39" s="4">
        <v>90078.0</v>
      </c>
      <c r="B39" s="3" t="s">
        <v>823</v>
      </c>
      <c r="C39" s="5">
        <v>46145.766168981485</v>
      </c>
      <c r="D39" s="3" t="s">
        <v>724</v>
      </c>
      <c r="E39" s="3" t="s">
        <v>824</v>
      </c>
      <c r="F39" s="4">
        <v>9.509983806E9</v>
      </c>
      <c r="G39" s="3" t="s">
        <v>50</v>
      </c>
      <c r="H39" s="3" t="s">
        <v>140</v>
      </c>
      <c r="I39" s="3" t="s">
        <v>139</v>
      </c>
      <c r="J39" s="3" t="s">
        <v>47</v>
      </c>
    </row>
    <row r="40">
      <c r="A40" s="4">
        <v>90079.0</v>
      </c>
      <c r="B40" s="3" t="s">
        <v>825</v>
      </c>
      <c r="C40" s="5">
        <v>46145.83739583333</v>
      </c>
      <c r="D40" s="3" t="s">
        <v>724</v>
      </c>
      <c r="E40" s="3" t="s">
        <v>826</v>
      </c>
      <c r="F40" s="4">
        <v>9.67736096E9</v>
      </c>
      <c r="G40" s="3" t="s">
        <v>50</v>
      </c>
      <c r="H40" s="3" t="s">
        <v>112</v>
      </c>
      <c r="I40" s="3" t="s">
        <v>827</v>
      </c>
      <c r="J40" s="3" t="s">
        <v>47</v>
      </c>
    </row>
    <row r="41">
      <c r="A41" s="4">
        <v>90080.0</v>
      </c>
      <c r="B41" s="3" t="s">
        <v>828</v>
      </c>
      <c r="C41" s="5">
        <v>46145.8593287037</v>
      </c>
      <c r="D41" s="3" t="s">
        <v>727</v>
      </c>
      <c r="E41" s="3" t="s">
        <v>829</v>
      </c>
      <c r="F41" s="4">
        <v>9.502234857E9</v>
      </c>
      <c r="G41" s="3" t="s">
        <v>50</v>
      </c>
      <c r="H41" s="3" t="s">
        <v>100</v>
      </c>
      <c r="I41" s="3" t="s">
        <v>99</v>
      </c>
      <c r="J41" s="12"/>
      <c r="K41" s="12"/>
    </row>
    <row r="42">
      <c r="A42" s="4">
        <v>90081.0</v>
      </c>
      <c r="B42" s="3" t="s">
        <v>830</v>
      </c>
      <c r="C42" s="5">
        <v>46145.871412037035</v>
      </c>
      <c r="D42" s="3" t="s">
        <v>724</v>
      </c>
      <c r="E42" s="3" t="s">
        <v>831</v>
      </c>
      <c r="F42" s="4">
        <v>8.23895998E9</v>
      </c>
      <c r="G42" s="3" t="s">
        <v>50</v>
      </c>
      <c r="H42" s="3" t="s">
        <v>150</v>
      </c>
      <c r="I42" s="3" t="s">
        <v>832</v>
      </c>
      <c r="J42" s="3" t="s">
        <v>47</v>
      </c>
    </row>
    <row r="43">
      <c r="A43" s="4">
        <v>90082.0</v>
      </c>
      <c r="B43" s="3" t="s">
        <v>833</v>
      </c>
      <c r="C43" s="5">
        <v>46145.88501157407</v>
      </c>
      <c r="D43" s="3" t="s">
        <v>727</v>
      </c>
      <c r="E43" s="12"/>
      <c r="F43" s="12"/>
      <c r="G43" s="3" t="s">
        <v>50</v>
      </c>
      <c r="H43" s="3" t="s">
        <v>64</v>
      </c>
      <c r="I43" s="3" t="s">
        <v>84</v>
      </c>
      <c r="J43" s="3" t="s">
        <v>47</v>
      </c>
    </row>
    <row r="44">
      <c r="A44" s="4">
        <v>90083.0</v>
      </c>
      <c r="B44" s="3" t="s">
        <v>834</v>
      </c>
      <c r="C44" s="5">
        <v>46146.014502314814</v>
      </c>
      <c r="D44" s="3" t="s">
        <v>727</v>
      </c>
      <c r="E44" s="3" t="s">
        <v>835</v>
      </c>
      <c r="F44" s="4">
        <v>8.789041742E9</v>
      </c>
      <c r="G44" s="3" t="s">
        <v>50</v>
      </c>
      <c r="H44" s="3" t="s">
        <v>135</v>
      </c>
      <c r="I44" s="3" t="s">
        <v>395</v>
      </c>
      <c r="J44" s="3" t="s">
        <v>47</v>
      </c>
    </row>
    <row r="45">
      <c r="A45" s="4">
        <v>90084.0</v>
      </c>
      <c r="B45" s="3" t="s">
        <v>836</v>
      </c>
      <c r="C45" s="5">
        <v>46146.435</v>
      </c>
      <c r="D45" s="3" t="s">
        <v>727</v>
      </c>
      <c r="E45" s="3" t="s">
        <v>837</v>
      </c>
      <c r="F45" s="4">
        <v>8.575857891E9</v>
      </c>
      <c r="G45" s="3" t="s">
        <v>50</v>
      </c>
      <c r="H45" s="3" t="s">
        <v>838</v>
      </c>
      <c r="I45" s="3" t="s">
        <v>839</v>
      </c>
      <c r="J45" s="3" t="s">
        <v>47</v>
      </c>
    </row>
    <row r="46">
      <c r="A46" s="4">
        <v>90085.0</v>
      </c>
      <c r="B46" s="3" t="s">
        <v>840</v>
      </c>
      <c r="C46" s="5">
        <v>46146.440358796295</v>
      </c>
      <c r="D46" s="3" t="s">
        <v>727</v>
      </c>
      <c r="E46" s="3" t="s">
        <v>841</v>
      </c>
      <c r="F46" s="4">
        <v>9.953056473E9</v>
      </c>
      <c r="G46" s="3" t="s">
        <v>50</v>
      </c>
      <c r="H46" s="3" t="s">
        <v>140</v>
      </c>
      <c r="I46" s="3" t="s">
        <v>139</v>
      </c>
      <c r="J46" s="3" t="s">
        <v>47</v>
      </c>
    </row>
    <row r="47">
      <c r="A47" s="4">
        <v>90086.0</v>
      </c>
      <c r="B47" s="3" t="s">
        <v>842</v>
      </c>
      <c r="C47" s="5">
        <v>46146.45628472222</v>
      </c>
      <c r="D47" s="3" t="s">
        <v>724</v>
      </c>
      <c r="E47" s="3" t="s">
        <v>843</v>
      </c>
      <c r="F47" s="4">
        <v>8.006652888E9</v>
      </c>
      <c r="G47" s="3" t="s">
        <v>50</v>
      </c>
      <c r="H47" s="3" t="s">
        <v>54</v>
      </c>
      <c r="I47" s="3" t="s">
        <v>844</v>
      </c>
      <c r="J47" s="3" t="s">
        <v>47</v>
      </c>
    </row>
    <row r="48">
      <c r="A48" s="4">
        <v>90087.0</v>
      </c>
      <c r="B48" s="3" t="s">
        <v>845</v>
      </c>
      <c r="C48" s="5">
        <v>46146.52442129629</v>
      </c>
      <c r="D48" s="3" t="s">
        <v>724</v>
      </c>
      <c r="E48" s="3" t="s">
        <v>846</v>
      </c>
      <c r="F48" s="4">
        <v>8.01724677E9</v>
      </c>
      <c r="G48" s="3" t="s">
        <v>50</v>
      </c>
      <c r="H48" s="3" t="s">
        <v>175</v>
      </c>
      <c r="I48" s="3" t="s">
        <v>174</v>
      </c>
      <c r="J48" s="3" t="s">
        <v>47</v>
      </c>
    </row>
    <row r="49">
      <c r="A49" s="4">
        <v>90088.0</v>
      </c>
      <c r="B49" s="3" t="s">
        <v>847</v>
      </c>
      <c r="C49" s="5">
        <v>46146.63395833333</v>
      </c>
      <c r="D49" s="3" t="s">
        <v>724</v>
      </c>
      <c r="E49" s="3" t="s">
        <v>848</v>
      </c>
      <c r="F49" s="4">
        <v>7.022671642E9</v>
      </c>
      <c r="G49" s="3" t="s">
        <v>50</v>
      </c>
      <c r="H49" s="3" t="s">
        <v>162</v>
      </c>
      <c r="I49" s="3" t="s">
        <v>161</v>
      </c>
      <c r="J49" s="12"/>
      <c r="K49" s="12"/>
    </row>
    <row r="50">
      <c r="A50" s="4">
        <v>90089.0</v>
      </c>
      <c r="B50" s="3" t="s">
        <v>849</v>
      </c>
      <c r="C50" s="5">
        <v>46146.63818287037</v>
      </c>
      <c r="D50" s="3" t="s">
        <v>724</v>
      </c>
      <c r="E50" s="3" t="s">
        <v>850</v>
      </c>
      <c r="F50" s="4">
        <v>8.385925975E9</v>
      </c>
      <c r="G50" s="3" t="s">
        <v>50</v>
      </c>
      <c r="H50" s="3" t="s">
        <v>117</v>
      </c>
      <c r="I50" s="3" t="s">
        <v>851</v>
      </c>
      <c r="J50" s="3" t="s">
        <v>47</v>
      </c>
    </row>
    <row r="51">
      <c r="A51" s="4">
        <v>90090.0</v>
      </c>
      <c r="B51" s="3" t="s">
        <v>852</v>
      </c>
      <c r="C51" s="5">
        <v>46146.64907407408</v>
      </c>
      <c r="D51" s="3" t="s">
        <v>724</v>
      </c>
      <c r="E51" s="3" t="s">
        <v>853</v>
      </c>
      <c r="F51" s="4">
        <v>8.391031193E9</v>
      </c>
      <c r="G51" s="3" t="s">
        <v>50</v>
      </c>
      <c r="H51" s="3" t="s">
        <v>175</v>
      </c>
      <c r="I51" s="3" t="s">
        <v>854</v>
      </c>
      <c r="J51" s="3" t="s">
        <v>47</v>
      </c>
    </row>
    <row r="52">
      <c r="A52" s="4">
        <v>90091.0</v>
      </c>
      <c r="B52" s="3" t="s">
        <v>855</v>
      </c>
      <c r="C52" s="5">
        <v>46146.72494212963</v>
      </c>
      <c r="D52" s="3" t="s">
        <v>724</v>
      </c>
      <c r="E52" s="3" t="s">
        <v>856</v>
      </c>
      <c r="F52" s="4">
        <v>9.142477289E9</v>
      </c>
      <c r="G52" s="3" t="s">
        <v>50</v>
      </c>
      <c r="H52" s="3" t="s">
        <v>175</v>
      </c>
      <c r="I52" s="3" t="s">
        <v>174</v>
      </c>
      <c r="J52" s="3" t="s">
        <v>47</v>
      </c>
    </row>
    <row r="53">
      <c r="A53" s="4">
        <v>90092.0</v>
      </c>
      <c r="B53" s="3" t="s">
        <v>857</v>
      </c>
      <c r="C53" s="5">
        <v>46146.780486111114</v>
      </c>
      <c r="D53" s="3" t="s">
        <v>724</v>
      </c>
      <c r="E53" s="3" t="s">
        <v>858</v>
      </c>
      <c r="F53" s="4">
        <v>8.660486314E9</v>
      </c>
      <c r="G53" s="3" t="s">
        <v>50</v>
      </c>
      <c r="H53" s="3" t="s">
        <v>162</v>
      </c>
      <c r="I53" s="3" t="s">
        <v>161</v>
      </c>
      <c r="J53" s="3" t="s">
        <v>47</v>
      </c>
    </row>
    <row r="54">
      <c r="A54" s="4">
        <v>90093.0</v>
      </c>
      <c r="B54" s="3" t="s">
        <v>859</v>
      </c>
      <c r="C54" s="5">
        <v>46146.80105324074</v>
      </c>
      <c r="D54" s="3" t="s">
        <v>724</v>
      </c>
      <c r="E54" s="3" t="s">
        <v>860</v>
      </c>
      <c r="F54" s="4">
        <v>6.478673522E9</v>
      </c>
      <c r="G54" s="3" t="s">
        <v>754</v>
      </c>
      <c r="H54" s="3" t="s">
        <v>755</v>
      </c>
      <c r="I54" s="3" t="s">
        <v>861</v>
      </c>
      <c r="J54" s="3" t="s">
        <v>47</v>
      </c>
    </row>
    <row r="55">
      <c r="A55" s="4">
        <v>90094.0</v>
      </c>
      <c r="B55" s="3" t="s">
        <v>862</v>
      </c>
      <c r="C55" s="5">
        <v>46146.81261574074</v>
      </c>
      <c r="D55" s="3" t="s">
        <v>724</v>
      </c>
      <c r="E55" s="3" t="s">
        <v>863</v>
      </c>
      <c r="F55" s="4">
        <v>9.945880198E9</v>
      </c>
      <c r="G55" s="3" t="s">
        <v>50</v>
      </c>
      <c r="H55" s="3" t="s">
        <v>162</v>
      </c>
      <c r="I55" s="3" t="s">
        <v>161</v>
      </c>
      <c r="J55" s="3" t="s">
        <v>124</v>
      </c>
    </row>
    <row r="56">
      <c r="A56" s="4">
        <v>90095.0</v>
      </c>
      <c r="B56" s="3" t="s">
        <v>864</v>
      </c>
      <c r="C56" s="5">
        <v>46146.90252314815</v>
      </c>
      <c r="D56" s="3" t="s">
        <v>724</v>
      </c>
      <c r="E56" s="3" t="s">
        <v>865</v>
      </c>
      <c r="F56" s="12" t="str">
        <f>+91 83919 51997</f>
        <v>#ERROR!</v>
      </c>
      <c r="G56" s="3" t="s">
        <v>50</v>
      </c>
      <c r="H56" s="3" t="s">
        <v>175</v>
      </c>
      <c r="I56" s="3" t="s">
        <v>866</v>
      </c>
      <c r="J56" s="3" t="s">
        <v>47</v>
      </c>
    </row>
    <row r="57">
      <c r="A57" s="4">
        <v>90096.0</v>
      </c>
      <c r="B57" s="3" t="s">
        <v>867</v>
      </c>
      <c r="C57" s="5">
        <v>46146.90546296296</v>
      </c>
      <c r="D57" s="3" t="s">
        <v>727</v>
      </c>
      <c r="E57" s="3" t="s">
        <v>868</v>
      </c>
      <c r="F57" s="4">
        <v>7.904081812E9</v>
      </c>
      <c r="G57" s="3" t="s">
        <v>50</v>
      </c>
      <c r="H57" s="3" t="s">
        <v>112</v>
      </c>
      <c r="I57" s="3" t="s">
        <v>827</v>
      </c>
      <c r="J57" s="3" t="s">
        <v>47</v>
      </c>
    </row>
    <row r="58">
      <c r="A58" s="4">
        <v>90097.0</v>
      </c>
      <c r="B58" s="3" t="s">
        <v>869</v>
      </c>
      <c r="C58" s="5">
        <v>46146.9090625</v>
      </c>
      <c r="D58" s="3" t="s">
        <v>727</v>
      </c>
      <c r="E58" s="3" t="s">
        <v>870</v>
      </c>
      <c r="F58" s="4">
        <v>9.984677848E9</v>
      </c>
      <c r="G58" s="3" t="s">
        <v>50</v>
      </c>
      <c r="H58" s="3" t="s">
        <v>54</v>
      </c>
      <c r="I58" s="3" t="s">
        <v>871</v>
      </c>
      <c r="J58" s="3" t="s">
        <v>47</v>
      </c>
    </row>
    <row r="59">
      <c r="A59" s="4">
        <v>90098.0</v>
      </c>
      <c r="B59" s="3" t="s">
        <v>872</v>
      </c>
      <c r="C59" s="5">
        <v>46146.917650462965</v>
      </c>
      <c r="D59" s="3" t="s">
        <v>724</v>
      </c>
      <c r="E59" s="3" t="s">
        <v>873</v>
      </c>
      <c r="F59" s="4">
        <v>7.842435397E9</v>
      </c>
      <c r="G59" s="3" t="s">
        <v>50</v>
      </c>
      <c r="H59" s="3" t="s">
        <v>100</v>
      </c>
      <c r="I59" s="3" t="s">
        <v>99</v>
      </c>
      <c r="J59" s="3" t="s">
        <v>47</v>
      </c>
    </row>
    <row r="60">
      <c r="A60" s="4">
        <v>90099.0</v>
      </c>
      <c r="B60" s="3" t="s">
        <v>874</v>
      </c>
      <c r="C60" s="5">
        <v>46146.98440972222</v>
      </c>
      <c r="D60" s="3" t="s">
        <v>727</v>
      </c>
      <c r="E60" s="3" t="s">
        <v>875</v>
      </c>
      <c r="F60" s="4">
        <v>8.652620861E9</v>
      </c>
      <c r="G60" s="3" t="s">
        <v>50</v>
      </c>
      <c r="H60" s="3" t="s">
        <v>64</v>
      </c>
      <c r="I60" s="3" t="s">
        <v>876</v>
      </c>
      <c r="J60" s="3" t="s">
        <v>319</v>
      </c>
    </row>
    <row r="61">
      <c r="A61" s="4">
        <v>90100.0</v>
      </c>
      <c r="B61" s="3" t="s">
        <v>877</v>
      </c>
      <c r="C61" s="5">
        <v>46147.045486111114</v>
      </c>
      <c r="D61" s="3" t="s">
        <v>724</v>
      </c>
      <c r="E61" s="3" t="s">
        <v>878</v>
      </c>
      <c r="F61" s="4">
        <v>9.701338631E9</v>
      </c>
      <c r="G61" s="3" t="s">
        <v>50</v>
      </c>
      <c r="H61" s="3" t="s">
        <v>100</v>
      </c>
      <c r="I61" s="3" t="s">
        <v>99</v>
      </c>
      <c r="J61" s="3" t="s">
        <v>47</v>
      </c>
    </row>
    <row r="62">
      <c r="A62" s="4">
        <v>90101.0</v>
      </c>
      <c r="B62" s="3" t="s">
        <v>879</v>
      </c>
      <c r="C62" s="5">
        <v>46147.055081018516</v>
      </c>
      <c r="D62" s="3" t="s">
        <v>724</v>
      </c>
      <c r="E62" s="3" t="s">
        <v>880</v>
      </c>
      <c r="F62" s="19">
        <v>9.1757E11</v>
      </c>
      <c r="G62" s="3" t="s">
        <v>881</v>
      </c>
      <c r="H62" s="3" t="s">
        <v>882</v>
      </c>
      <c r="I62" s="3" t="s">
        <v>883</v>
      </c>
      <c r="J62" s="3" t="s">
        <v>47</v>
      </c>
    </row>
    <row r="63">
      <c r="A63" s="4">
        <v>90102.0</v>
      </c>
      <c r="B63" s="3" t="s">
        <v>884</v>
      </c>
      <c r="C63" s="5">
        <v>46147.073530092595</v>
      </c>
      <c r="D63" s="3" t="s">
        <v>724</v>
      </c>
      <c r="E63" s="3" t="s">
        <v>885</v>
      </c>
      <c r="F63" s="4">
        <v>9.14239384E8</v>
      </c>
      <c r="G63" s="3" t="s">
        <v>50</v>
      </c>
      <c r="H63" s="3" t="s">
        <v>54</v>
      </c>
      <c r="I63" s="3" t="s">
        <v>740</v>
      </c>
      <c r="J63" s="3" t="s">
        <v>47</v>
      </c>
    </row>
    <row r="64">
      <c r="A64" s="4">
        <v>90103.0</v>
      </c>
      <c r="B64" s="3" t="s">
        <v>886</v>
      </c>
      <c r="C64" s="5">
        <v>46147.43074074074</v>
      </c>
      <c r="D64" s="3" t="s">
        <v>724</v>
      </c>
      <c r="E64" s="3" t="s">
        <v>887</v>
      </c>
      <c r="F64" s="4">
        <v>7.880406663E9</v>
      </c>
      <c r="G64" s="3" t="s">
        <v>50</v>
      </c>
      <c r="H64" s="3" t="s">
        <v>64</v>
      </c>
      <c r="I64" s="3" t="s">
        <v>888</v>
      </c>
      <c r="J64" s="3" t="s">
        <v>47</v>
      </c>
    </row>
    <row r="65">
      <c r="A65" s="4">
        <v>90104.0</v>
      </c>
      <c r="B65" s="3" t="s">
        <v>889</v>
      </c>
      <c r="C65" s="5">
        <v>46147.46603009259</v>
      </c>
      <c r="D65" s="3" t="s">
        <v>724</v>
      </c>
      <c r="E65" s="3" t="s">
        <v>890</v>
      </c>
      <c r="F65" s="4">
        <v>6.260447206E9</v>
      </c>
      <c r="G65" s="3" t="s">
        <v>50</v>
      </c>
      <c r="H65" s="3" t="s">
        <v>157</v>
      </c>
      <c r="I65" s="3" t="s">
        <v>891</v>
      </c>
      <c r="J65" s="3" t="s">
        <v>47</v>
      </c>
    </row>
    <row r="66">
      <c r="A66" s="4">
        <v>90105.0</v>
      </c>
      <c r="B66" s="3" t="s">
        <v>892</v>
      </c>
      <c r="C66" s="5">
        <v>46147.47881944444</v>
      </c>
      <c r="D66" s="3" t="s">
        <v>727</v>
      </c>
      <c r="E66" s="3" t="s">
        <v>893</v>
      </c>
      <c r="F66" s="4">
        <v>8.008455346E9</v>
      </c>
      <c r="G66" s="3" t="s">
        <v>50</v>
      </c>
      <c r="H66" s="3" t="s">
        <v>750</v>
      </c>
      <c r="I66" s="3" t="s">
        <v>894</v>
      </c>
      <c r="J66" s="3" t="s">
        <v>47</v>
      </c>
    </row>
    <row r="67">
      <c r="A67" s="4">
        <v>90106.0</v>
      </c>
      <c r="B67" s="3" t="s">
        <v>895</v>
      </c>
      <c r="C67" s="5">
        <v>46147.54174768519</v>
      </c>
      <c r="D67" s="3" t="s">
        <v>727</v>
      </c>
      <c r="E67" s="3" t="s">
        <v>896</v>
      </c>
      <c r="F67" s="4">
        <v>9.836437283E9</v>
      </c>
      <c r="G67" s="3" t="s">
        <v>50</v>
      </c>
      <c r="H67" s="3" t="s">
        <v>175</v>
      </c>
      <c r="I67" s="3" t="s">
        <v>897</v>
      </c>
      <c r="J67" s="3" t="s">
        <v>47</v>
      </c>
    </row>
    <row r="68">
      <c r="A68" s="4">
        <v>90107.0</v>
      </c>
      <c r="B68" s="3" t="s">
        <v>898</v>
      </c>
      <c r="C68" s="5">
        <v>46147.55569444445</v>
      </c>
      <c r="D68" s="3" t="s">
        <v>727</v>
      </c>
      <c r="E68" s="3" t="s">
        <v>899</v>
      </c>
      <c r="F68" s="4">
        <v>9.412920202E9</v>
      </c>
      <c r="G68" s="3" t="s">
        <v>50</v>
      </c>
      <c r="H68" s="3" t="s">
        <v>188</v>
      </c>
      <c r="I68" s="3" t="s">
        <v>900</v>
      </c>
      <c r="J68" s="3" t="s">
        <v>47</v>
      </c>
    </row>
    <row r="69">
      <c r="A69" s="4">
        <v>90108.0</v>
      </c>
      <c r="B69" s="3" t="s">
        <v>901</v>
      </c>
      <c r="C69" s="5">
        <v>46147.585810185185</v>
      </c>
      <c r="D69" s="3" t="s">
        <v>727</v>
      </c>
      <c r="E69" s="3" t="s">
        <v>902</v>
      </c>
      <c r="F69" s="4">
        <v>7.685864573E9</v>
      </c>
      <c r="G69" s="3" t="s">
        <v>50</v>
      </c>
      <c r="H69" s="3" t="s">
        <v>100</v>
      </c>
      <c r="I69" s="3" t="s">
        <v>903</v>
      </c>
      <c r="J69" s="3" t="s">
        <v>47</v>
      </c>
    </row>
    <row r="70">
      <c r="A70" s="4">
        <v>90109.0</v>
      </c>
      <c r="B70" s="3" t="s">
        <v>904</v>
      </c>
      <c r="C70" s="5">
        <v>46147.60778935185</v>
      </c>
      <c r="D70" s="3" t="s">
        <v>724</v>
      </c>
      <c r="E70" s="3" t="s">
        <v>905</v>
      </c>
      <c r="F70" s="4">
        <v>8.688119558E9</v>
      </c>
      <c r="G70" s="3" t="s">
        <v>50</v>
      </c>
      <c r="H70" s="3" t="s">
        <v>140</v>
      </c>
      <c r="I70" s="3" t="s">
        <v>139</v>
      </c>
      <c r="J70" s="3" t="s">
        <v>47</v>
      </c>
    </row>
    <row r="71">
      <c r="A71" s="4">
        <v>90110.0</v>
      </c>
      <c r="B71" s="3" t="s">
        <v>906</v>
      </c>
      <c r="C71" s="5">
        <v>46147.66473379629</v>
      </c>
      <c r="D71" s="3" t="s">
        <v>724</v>
      </c>
      <c r="E71" s="3" t="s">
        <v>907</v>
      </c>
      <c r="F71" s="4">
        <v>9.878560951E9</v>
      </c>
      <c r="G71" s="3" t="s">
        <v>50</v>
      </c>
      <c r="H71" s="3" t="s">
        <v>49</v>
      </c>
      <c r="I71" s="3" t="s">
        <v>908</v>
      </c>
      <c r="J71" s="3" t="s">
        <v>47</v>
      </c>
    </row>
    <row r="72">
      <c r="A72" s="4">
        <v>90111.0</v>
      </c>
      <c r="B72" s="3" t="s">
        <v>909</v>
      </c>
      <c r="C72" s="5">
        <v>46147.73619212963</v>
      </c>
      <c r="D72" s="3" t="s">
        <v>727</v>
      </c>
      <c r="E72" s="3" t="s">
        <v>910</v>
      </c>
      <c r="F72" s="4">
        <v>8.595608426E9</v>
      </c>
      <c r="G72" s="3" t="s">
        <v>50</v>
      </c>
      <c r="H72" s="3" t="s">
        <v>140</v>
      </c>
      <c r="I72" s="3" t="s">
        <v>140</v>
      </c>
      <c r="J72" s="3" t="s">
        <v>47</v>
      </c>
    </row>
    <row r="73">
      <c r="A73" s="4">
        <v>90112.0</v>
      </c>
      <c r="B73" s="3" t="s">
        <v>911</v>
      </c>
      <c r="C73" s="5">
        <v>46147.78466435185</v>
      </c>
      <c r="D73" s="3" t="s">
        <v>724</v>
      </c>
      <c r="E73" s="3" t="s">
        <v>912</v>
      </c>
      <c r="F73" s="4">
        <v>7.038745277E9</v>
      </c>
      <c r="G73" s="3" t="s">
        <v>50</v>
      </c>
      <c r="H73" s="3" t="s">
        <v>64</v>
      </c>
      <c r="I73" s="3" t="s">
        <v>94</v>
      </c>
      <c r="J73" s="3" t="s">
        <v>47</v>
      </c>
    </row>
    <row r="74">
      <c r="A74" s="4">
        <v>90113.0</v>
      </c>
      <c r="B74" s="3" t="s">
        <v>913</v>
      </c>
      <c r="C74" s="5">
        <v>46147.796273148146</v>
      </c>
      <c r="D74" s="3" t="s">
        <v>727</v>
      </c>
      <c r="E74" s="3" t="s">
        <v>914</v>
      </c>
      <c r="F74" s="3" t="s">
        <v>915</v>
      </c>
      <c r="G74" s="3" t="s">
        <v>50</v>
      </c>
      <c r="H74" s="3" t="s">
        <v>112</v>
      </c>
      <c r="I74" s="3" t="s">
        <v>508</v>
      </c>
      <c r="J74" s="3" t="s">
        <v>47</v>
      </c>
    </row>
    <row r="75">
      <c r="A75" s="4">
        <v>90114.0</v>
      </c>
      <c r="B75" s="3" t="s">
        <v>916</v>
      </c>
      <c r="C75" s="5">
        <v>46147.806921296295</v>
      </c>
      <c r="D75" s="3" t="s">
        <v>724</v>
      </c>
      <c r="E75" s="3" t="s">
        <v>917</v>
      </c>
      <c r="F75" s="4">
        <v>9.315703037E9</v>
      </c>
      <c r="G75" s="3" t="s">
        <v>50</v>
      </c>
      <c r="H75" s="3" t="s">
        <v>54</v>
      </c>
      <c r="I75" s="3" t="s">
        <v>145</v>
      </c>
      <c r="J75" s="3" t="s">
        <v>47</v>
      </c>
    </row>
    <row r="76">
      <c r="A76" s="4">
        <v>90115.0</v>
      </c>
      <c r="B76" s="3" t="s">
        <v>918</v>
      </c>
      <c r="C76" s="5">
        <v>46147.838171296295</v>
      </c>
      <c r="D76" s="3" t="s">
        <v>724</v>
      </c>
      <c r="E76" s="3" t="s">
        <v>919</v>
      </c>
      <c r="F76" s="4">
        <v>9.967768269E9</v>
      </c>
      <c r="G76" s="3" t="s">
        <v>50</v>
      </c>
      <c r="H76" s="3" t="s">
        <v>64</v>
      </c>
      <c r="I76" s="3" t="s">
        <v>84</v>
      </c>
      <c r="J76" s="3" t="s">
        <v>47</v>
      </c>
    </row>
    <row r="77">
      <c r="A77" s="4">
        <v>90116.0</v>
      </c>
      <c r="B77" s="3" t="s">
        <v>920</v>
      </c>
      <c r="C77" s="5">
        <v>46147.86479166667</v>
      </c>
      <c r="D77" s="3" t="s">
        <v>724</v>
      </c>
      <c r="E77" s="3" t="s">
        <v>921</v>
      </c>
      <c r="F77" s="4">
        <v>9.833998569E9</v>
      </c>
      <c r="G77" s="3" t="s">
        <v>50</v>
      </c>
      <c r="H77" s="3" t="s">
        <v>140</v>
      </c>
      <c r="I77" s="3" t="s">
        <v>139</v>
      </c>
      <c r="J77" s="3" t="s">
        <v>47</v>
      </c>
    </row>
    <row r="78">
      <c r="A78" s="4">
        <v>90117.0</v>
      </c>
      <c r="B78" s="3" t="s">
        <v>922</v>
      </c>
      <c r="C78" s="5">
        <v>46147.866689814815</v>
      </c>
      <c r="D78" s="3" t="s">
        <v>724</v>
      </c>
      <c r="E78" s="3" t="s">
        <v>923</v>
      </c>
      <c r="F78" s="12" t="str">
        <f>+91 7738324020</f>
        <v>#ERROR!</v>
      </c>
      <c r="G78" s="3" t="s">
        <v>50</v>
      </c>
      <c r="H78" s="3" t="s">
        <v>64</v>
      </c>
      <c r="I78" s="3" t="s">
        <v>307</v>
      </c>
      <c r="J78" s="3" t="s">
        <v>47</v>
      </c>
    </row>
    <row r="79">
      <c r="A79" s="4">
        <v>90118.0</v>
      </c>
      <c r="B79" s="3" t="s">
        <v>924</v>
      </c>
      <c r="C79" s="5">
        <v>46147.912569444445</v>
      </c>
      <c r="D79" s="3" t="s">
        <v>724</v>
      </c>
      <c r="E79" s="3" t="s">
        <v>925</v>
      </c>
      <c r="F79" s="4">
        <v>8.168357553E9</v>
      </c>
      <c r="G79" s="3" t="s">
        <v>50</v>
      </c>
      <c r="H79" s="3" t="s">
        <v>117</v>
      </c>
      <c r="I79" s="3" t="s">
        <v>926</v>
      </c>
      <c r="J79" s="3" t="s">
        <v>47</v>
      </c>
    </row>
    <row r="80">
      <c r="A80" s="4">
        <v>90119.0</v>
      </c>
      <c r="B80" s="3" t="s">
        <v>927</v>
      </c>
      <c r="C80" s="5">
        <v>46147.91422453704</v>
      </c>
      <c r="D80" s="3" t="s">
        <v>724</v>
      </c>
      <c r="E80" s="3" t="s">
        <v>928</v>
      </c>
      <c r="F80" s="4">
        <v>7.09445493E9</v>
      </c>
      <c r="G80" s="3" t="s">
        <v>50</v>
      </c>
      <c r="H80" s="3" t="s">
        <v>112</v>
      </c>
      <c r="I80" s="3" t="s">
        <v>929</v>
      </c>
      <c r="J80" s="3" t="s">
        <v>47</v>
      </c>
    </row>
    <row r="81">
      <c r="A81" s="4">
        <v>90120.0</v>
      </c>
      <c r="B81" s="3" t="s">
        <v>930</v>
      </c>
      <c r="C81" s="5">
        <v>46147.948958333334</v>
      </c>
      <c r="D81" s="3" t="s">
        <v>724</v>
      </c>
      <c r="E81" s="3" t="s">
        <v>931</v>
      </c>
      <c r="F81" s="12" t="str">
        <f>+91 9650145762</f>
        <v>#ERROR!</v>
      </c>
      <c r="G81" s="3" t="s">
        <v>50</v>
      </c>
      <c r="H81" s="3" t="s">
        <v>140</v>
      </c>
      <c r="I81" s="3" t="s">
        <v>139</v>
      </c>
      <c r="J81" s="3" t="s">
        <v>47</v>
      </c>
    </row>
    <row r="82">
      <c r="A82" s="4">
        <v>90121.0</v>
      </c>
      <c r="B82" s="12"/>
      <c r="C82" s="5">
        <v>46147.965833333335</v>
      </c>
      <c r="E82" s="3" t="s">
        <v>932</v>
      </c>
      <c r="H82" s="12"/>
      <c r="I82" s="12"/>
      <c r="J82" s="12"/>
      <c r="K82" s="12"/>
    </row>
    <row r="83">
      <c r="A83" s="4">
        <v>90122.0</v>
      </c>
      <c r="B83" s="3" t="s">
        <v>933</v>
      </c>
      <c r="C83" s="5">
        <v>46147.973807870374</v>
      </c>
      <c r="D83" s="3" t="s">
        <v>724</v>
      </c>
      <c r="E83" s="3" t="s">
        <v>934</v>
      </c>
      <c r="F83" s="4">
        <v>7.600093424E9</v>
      </c>
      <c r="G83" s="3" t="s">
        <v>50</v>
      </c>
      <c r="H83" s="3" t="s">
        <v>150</v>
      </c>
      <c r="I83" s="3" t="s">
        <v>149</v>
      </c>
      <c r="J83" s="3" t="s">
        <v>47</v>
      </c>
    </row>
    <row r="84">
      <c r="A84" s="4">
        <v>90123.0</v>
      </c>
      <c r="B84" s="3" t="s">
        <v>935</v>
      </c>
      <c r="C84" s="5">
        <v>46148.056238425925</v>
      </c>
      <c r="D84" s="3" t="s">
        <v>724</v>
      </c>
      <c r="E84" s="3" t="s">
        <v>936</v>
      </c>
      <c r="F84" s="4">
        <v>3.033597266E9</v>
      </c>
      <c r="G84" s="3" t="s">
        <v>612</v>
      </c>
      <c r="H84" s="3" t="s">
        <v>937</v>
      </c>
      <c r="I84" s="3" t="s">
        <v>938</v>
      </c>
      <c r="J84" s="3" t="s">
        <v>47</v>
      </c>
    </row>
    <row r="85">
      <c r="A85" s="4">
        <v>90124.0</v>
      </c>
      <c r="B85" s="3" t="s">
        <v>939</v>
      </c>
      <c r="C85" s="5">
        <v>46148.093518518515</v>
      </c>
      <c r="D85" s="3" t="s">
        <v>724</v>
      </c>
      <c r="E85" s="3" t="s">
        <v>940</v>
      </c>
      <c r="F85" s="4">
        <v>8.420955094E9</v>
      </c>
      <c r="G85" s="3" t="s">
        <v>50</v>
      </c>
      <c r="H85" s="3" t="s">
        <v>175</v>
      </c>
      <c r="I85" s="3" t="s">
        <v>174</v>
      </c>
      <c r="J85" s="3" t="s">
        <v>47</v>
      </c>
    </row>
    <row r="86">
      <c r="A86" s="4">
        <v>90125.0</v>
      </c>
      <c r="B86" s="3" t="s">
        <v>941</v>
      </c>
      <c r="C86" s="5">
        <v>46148.152337962965</v>
      </c>
      <c r="D86" s="3" t="s">
        <v>727</v>
      </c>
      <c r="E86" s="3" t="s">
        <v>942</v>
      </c>
      <c r="F86" s="4">
        <v>6.230456626E9</v>
      </c>
      <c r="G86" s="3" t="s">
        <v>50</v>
      </c>
      <c r="H86" s="3" t="s">
        <v>49</v>
      </c>
      <c r="I86" s="3" t="s">
        <v>943</v>
      </c>
      <c r="J86" s="3" t="s">
        <v>47</v>
      </c>
    </row>
    <row r="87">
      <c r="A87" s="4">
        <v>90126.0</v>
      </c>
      <c r="B87" s="3" t="s">
        <v>944</v>
      </c>
      <c r="C87" s="5">
        <v>46148.162986111114</v>
      </c>
      <c r="D87" s="3" t="s">
        <v>727</v>
      </c>
      <c r="E87" s="3" t="s">
        <v>945</v>
      </c>
      <c r="F87" s="4">
        <v>7.029668669E9</v>
      </c>
      <c r="G87" s="3" t="s">
        <v>50</v>
      </c>
      <c r="H87" s="3" t="s">
        <v>175</v>
      </c>
      <c r="I87" s="3" t="s">
        <v>946</v>
      </c>
      <c r="J87" s="3" t="s">
        <v>47</v>
      </c>
    </row>
    <row r="88">
      <c r="A88" s="4">
        <v>90127.0</v>
      </c>
      <c r="B88" s="3" t="s">
        <v>947</v>
      </c>
      <c r="C88" s="5">
        <v>46148.2409837963</v>
      </c>
      <c r="D88" s="3" t="s">
        <v>724</v>
      </c>
      <c r="E88" s="3" t="s">
        <v>948</v>
      </c>
      <c r="F88" s="4">
        <v>9.999632351E9</v>
      </c>
      <c r="G88" s="3" t="s">
        <v>50</v>
      </c>
      <c r="H88" s="3" t="s">
        <v>140</v>
      </c>
      <c r="I88" s="3" t="s">
        <v>140</v>
      </c>
      <c r="J88" s="3" t="s">
        <v>47</v>
      </c>
    </row>
    <row r="89">
      <c r="A89" s="4">
        <v>90128.0</v>
      </c>
      <c r="B89" s="3" t="s">
        <v>949</v>
      </c>
      <c r="C89" s="5">
        <v>46148.25287037037</v>
      </c>
      <c r="D89" s="3" t="s">
        <v>727</v>
      </c>
      <c r="E89" s="3" t="s">
        <v>950</v>
      </c>
      <c r="F89" s="4">
        <v>6.268542088E9</v>
      </c>
      <c r="G89" s="3" t="s">
        <v>50</v>
      </c>
      <c r="H89" s="3" t="s">
        <v>162</v>
      </c>
      <c r="I89" s="3" t="s">
        <v>161</v>
      </c>
      <c r="J89" s="3" t="s">
        <v>502</v>
      </c>
    </row>
    <row r="90">
      <c r="A90" s="4">
        <v>90129.0</v>
      </c>
      <c r="B90" s="3" t="s">
        <v>951</v>
      </c>
      <c r="C90" s="5">
        <v>46148.26362268518</v>
      </c>
      <c r="D90" s="3" t="s">
        <v>727</v>
      </c>
      <c r="E90" s="3" t="s">
        <v>952</v>
      </c>
      <c r="F90" s="4">
        <v>9.41400447E9</v>
      </c>
      <c r="G90" s="3" t="s">
        <v>50</v>
      </c>
      <c r="H90" s="3" t="s">
        <v>292</v>
      </c>
      <c r="I90" s="3" t="s">
        <v>953</v>
      </c>
      <c r="J90" s="3" t="s">
        <v>47</v>
      </c>
    </row>
    <row r="91">
      <c r="A91" s="4">
        <v>90130.0</v>
      </c>
      <c r="B91" s="3" t="s">
        <v>954</v>
      </c>
      <c r="C91" s="5">
        <v>46148.41369212963</v>
      </c>
      <c r="D91" s="3" t="s">
        <v>724</v>
      </c>
      <c r="E91" s="3" t="s">
        <v>955</v>
      </c>
      <c r="F91" s="4">
        <v>8.074730548E9</v>
      </c>
      <c r="G91" s="3" t="s">
        <v>50</v>
      </c>
      <c r="H91" s="3" t="s">
        <v>100</v>
      </c>
      <c r="I91" s="3" t="s">
        <v>956</v>
      </c>
      <c r="J91" s="3" t="s">
        <v>47</v>
      </c>
    </row>
    <row r="92">
      <c r="A92" s="4">
        <v>90131.0</v>
      </c>
      <c r="B92" s="3" t="s">
        <v>957</v>
      </c>
      <c r="C92" s="5">
        <v>46148.42824074074</v>
      </c>
      <c r="D92" s="3" t="s">
        <v>724</v>
      </c>
      <c r="E92" s="3" t="s">
        <v>958</v>
      </c>
      <c r="F92" s="4">
        <v>8.284070594E9</v>
      </c>
      <c r="G92" s="3" t="s">
        <v>50</v>
      </c>
      <c r="H92" s="3" t="s">
        <v>49</v>
      </c>
      <c r="I92" s="3" t="s">
        <v>959</v>
      </c>
      <c r="J92" s="3" t="s">
        <v>47</v>
      </c>
    </row>
    <row r="93">
      <c r="A93" s="4">
        <v>90132.0</v>
      </c>
      <c r="B93" s="3" t="s">
        <v>960</v>
      </c>
      <c r="C93" s="5">
        <v>46148.491585648146</v>
      </c>
      <c r="D93" s="3" t="s">
        <v>724</v>
      </c>
      <c r="E93" s="3" t="s">
        <v>961</v>
      </c>
      <c r="F93" s="4">
        <v>9.381769313E9</v>
      </c>
      <c r="G93" s="3" t="s">
        <v>50</v>
      </c>
      <c r="H93" s="3" t="s">
        <v>100</v>
      </c>
      <c r="I93" s="3" t="s">
        <v>99</v>
      </c>
      <c r="J93" s="3" t="s">
        <v>47</v>
      </c>
    </row>
    <row r="94">
      <c r="A94" s="4">
        <v>90133.0</v>
      </c>
      <c r="B94" s="3" t="s">
        <v>962</v>
      </c>
      <c r="C94" s="5">
        <v>46148.49601851852</v>
      </c>
      <c r="D94" s="3" t="s">
        <v>727</v>
      </c>
      <c r="E94" s="3" t="s">
        <v>963</v>
      </c>
      <c r="F94" s="4">
        <v>7.261937544E9</v>
      </c>
      <c r="G94" s="3" t="s">
        <v>50</v>
      </c>
      <c r="H94" s="3" t="s">
        <v>64</v>
      </c>
      <c r="I94" s="3" t="s">
        <v>964</v>
      </c>
      <c r="J94" s="3" t="s">
        <v>47</v>
      </c>
    </row>
    <row r="95">
      <c r="A95" s="4">
        <v>90134.0</v>
      </c>
      <c r="B95" s="3" t="s">
        <v>965</v>
      </c>
      <c r="C95" s="5">
        <v>46148.51055555556</v>
      </c>
      <c r="D95" s="3" t="s">
        <v>727</v>
      </c>
      <c r="E95" s="3" t="s">
        <v>966</v>
      </c>
      <c r="F95" s="19">
        <v>9.199E11</v>
      </c>
      <c r="G95" s="3" t="s">
        <v>50</v>
      </c>
      <c r="H95" s="3" t="s">
        <v>162</v>
      </c>
      <c r="I95" s="3" t="s">
        <v>161</v>
      </c>
      <c r="J95" s="3" t="s">
        <v>47</v>
      </c>
    </row>
    <row r="96">
      <c r="A96" s="4">
        <v>90135.0</v>
      </c>
      <c r="B96" s="3" t="s">
        <v>967</v>
      </c>
      <c r="C96" s="5">
        <v>46148.513449074075</v>
      </c>
      <c r="D96" s="3" t="s">
        <v>724</v>
      </c>
      <c r="E96" s="3" t="s">
        <v>968</v>
      </c>
      <c r="F96" s="4">
        <v>7.012249992E9</v>
      </c>
      <c r="G96" s="3" t="s">
        <v>50</v>
      </c>
      <c r="H96" s="3" t="s">
        <v>349</v>
      </c>
      <c r="I96" s="3" t="s">
        <v>969</v>
      </c>
      <c r="J96" s="3" t="s">
        <v>47</v>
      </c>
    </row>
    <row r="97">
      <c r="A97" s="4">
        <v>90157.0</v>
      </c>
      <c r="B97" s="3" t="s">
        <v>970</v>
      </c>
      <c r="C97" s="5">
        <v>46148.618425925924</v>
      </c>
      <c r="D97" s="3" t="s">
        <v>724</v>
      </c>
      <c r="E97" s="3" t="s">
        <v>971</v>
      </c>
      <c r="F97" s="4">
        <v>8.984268292E9</v>
      </c>
      <c r="G97" s="3" t="s">
        <v>50</v>
      </c>
      <c r="H97" s="3" t="s">
        <v>132</v>
      </c>
      <c r="I97" s="3" t="s">
        <v>972</v>
      </c>
      <c r="J97" s="3" t="s">
        <v>155</v>
      </c>
    </row>
    <row r="98">
      <c r="A98" s="4">
        <v>90158.0</v>
      </c>
      <c r="B98" s="3" t="s">
        <v>973</v>
      </c>
      <c r="C98" s="5">
        <v>46148.61856481482</v>
      </c>
      <c r="D98" s="3" t="s">
        <v>724</v>
      </c>
      <c r="E98" s="3" t="s">
        <v>974</v>
      </c>
      <c r="F98" s="4">
        <v>6.388875644E9</v>
      </c>
      <c r="G98" s="3" t="s">
        <v>50</v>
      </c>
      <c r="H98" s="3" t="s">
        <v>54</v>
      </c>
      <c r="I98" s="3" t="s">
        <v>975</v>
      </c>
      <c r="J98" s="3" t="s">
        <v>47</v>
      </c>
    </row>
    <row r="99">
      <c r="A99" s="4">
        <v>90159.0</v>
      </c>
      <c r="B99" s="3" t="s">
        <v>976</v>
      </c>
      <c r="C99" s="5">
        <v>46148.65719907408</v>
      </c>
      <c r="D99" s="3" t="s">
        <v>724</v>
      </c>
      <c r="E99" s="3" t="s">
        <v>977</v>
      </c>
      <c r="F99" s="4">
        <v>7.483543354E9</v>
      </c>
      <c r="G99" s="3" t="s">
        <v>50</v>
      </c>
      <c r="H99" s="3" t="s">
        <v>150</v>
      </c>
      <c r="I99" s="3" t="s">
        <v>978</v>
      </c>
      <c r="J99" s="3" t="s">
        <v>47</v>
      </c>
    </row>
    <row r="100">
      <c r="A100" s="4">
        <v>90161.0</v>
      </c>
      <c r="B100" s="3" t="s">
        <v>713</v>
      </c>
      <c r="C100" s="5">
        <v>46148.68540509259</v>
      </c>
      <c r="D100" s="3" t="s">
        <v>727</v>
      </c>
      <c r="E100" s="3" t="s">
        <v>714</v>
      </c>
      <c r="F100" s="4">
        <v>9.917217778E9</v>
      </c>
      <c r="G100" s="3" t="s">
        <v>50</v>
      </c>
      <c r="H100" s="3" t="s">
        <v>162</v>
      </c>
      <c r="I100" s="3" t="s">
        <v>161</v>
      </c>
      <c r="J100" s="3" t="s">
        <v>47</v>
      </c>
    </row>
    <row r="101">
      <c r="A101" s="4">
        <v>90162.0</v>
      </c>
      <c r="B101" s="3" t="s">
        <v>979</v>
      </c>
      <c r="C101" s="5">
        <v>46148.718310185184</v>
      </c>
      <c r="D101" s="3" t="s">
        <v>724</v>
      </c>
      <c r="E101" s="3" t="s">
        <v>980</v>
      </c>
      <c r="F101" s="4">
        <v>9.518531993E9</v>
      </c>
      <c r="G101" s="3" t="s">
        <v>50</v>
      </c>
      <c r="H101" s="3" t="s">
        <v>64</v>
      </c>
      <c r="I101" s="3" t="s">
        <v>94</v>
      </c>
      <c r="J101" s="3" t="s">
        <v>47</v>
      </c>
    </row>
    <row r="102">
      <c r="A102" s="4">
        <v>90163.0</v>
      </c>
      <c r="B102" s="3" t="s">
        <v>981</v>
      </c>
      <c r="C102" s="5">
        <v>46148.718622685185</v>
      </c>
      <c r="D102" s="3" t="s">
        <v>724</v>
      </c>
      <c r="E102" s="3" t="s">
        <v>982</v>
      </c>
      <c r="F102" s="4">
        <v>9.960230632E9</v>
      </c>
      <c r="G102" s="3" t="s">
        <v>50</v>
      </c>
      <c r="H102" s="3" t="s">
        <v>64</v>
      </c>
      <c r="I102" s="3" t="s">
        <v>94</v>
      </c>
      <c r="J102" s="3" t="s">
        <v>47</v>
      </c>
    </row>
    <row r="103">
      <c r="A103" s="4">
        <v>90164.0</v>
      </c>
      <c r="B103" s="3" t="s">
        <v>983</v>
      </c>
      <c r="C103" s="5">
        <v>46148.812048611115</v>
      </c>
      <c r="D103" s="3" t="s">
        <v>727</v>
      </c>
      <c r="E103" s="3" t="s">
        <v>984</v>
      </c>
      <c r="F103" s="4">
        <v>6.383420864E9</v>
      </c>
      <c r="G103" s="3" t="s">
        <v>50</v>
      </c>
      <c r="H103" s="3" t="s">
        <v>112</v>
      </c>
      <c r="I103" s="3" t="s">
        <v>985</v>
      </c>
      <c r="J103" s="3" t="s">
        <v>47</v>
      </c>
    </row>
    <row r="104">
      <c r="A104" s="4">
        <v>90165.0</v>
      </c>
      <c r="B104" s="3" t="s">
        <v>986</v>
      </c>
      <c r="C104" s="5">
        <v>46148.81559027778</v>
      </c>
      <c r="D104" s="3" t="s">
        <v>724</v>
      </c>
      <c r="E104" s="3" t="s">
        <v>987</v>
      </c>
      <c r="F104" s="4">
        <v>7.620157205E9</v>
      </c>
      <c r="G104" s="3" t="s">
        <v>50</v>
      </c>
      <c r="H104" s="3" t="s">
        <v>64</v>
      </c>
      <c r="I104" s="3" t="s">
        <v>94</v>
      </c>
      <c r="J104" s="3" t="s">
        <v>47</v>
      </c>
    </row>
    <row r="105">
      <c r="A105" s="4">
        <v>90166.0</v>
      </c>
      <c r="B105" s="3" t="s">
        <v>988</v>
      </c>
      <c r="C105" s="5">
        <v>46148.89938657408</v>
      </c>
      <c r="D105" s="3" t="s">
        <v>724</v>
      </c>
      <c r="E105" s="3" t="s">
        <v>989</v>
      </c>
      <c r="F105" s="4">
        <v>8.592999877E9</v>
      </c>
      <c r="G105" s="3" t="s">
        <v>50</v>
      </c>
      <c r="H105" s="3" t="s">
        <v>349</v>
      </c>
      <c r="I105" s="3" t="s">
        <v>990</v>
      </c>
      <c r="J105" s="3" t="s">
        <v>47</v>
      </c>
    </row>
    <row r="106">
      <c r="A106" s="4">
        <v>90167.0</v>
      </c>
      <c r="B106" s="3" t="s">
        <v>991</v>
      </c>
      <c r="C106" s="5">
        <v>46148.900416666664</v>
      </c>
      <c r="D106" s="3" t="s">
        <v>727</v>
      </c>
      <c r="E106" s="3" t="s">
        <v>992</v>
      </c>
      <c r="F106" s="4">
        <v>9.711992125E9</v>
      </c>
      <c r="G106" s="3" t="s">
        <v>50</v>
      </c>
      <c r="H106" s="3" t="s">
        <v>140</v>
      </c>
      <c r="I106" s="3" t="s">
        <v>139</v>
      </c>
      <c r="J106" s="3" t="s">
        <v>47</v>
      </c>
    </row>
    <row r="107">
      <c r="A107" s="4">
        <v>90168.0</v>
      </c>
      <c r="B107" s="3" t="s">
        <v>993</v>
      </c>
      <c r="C107" s="5">
        <v>46149.004537037035</v>
      </c>
      <c r="D107" s="3" t="s">
        <v>724</v>
      </c>
      <c r="E107" s="3" t="s">
        <v>994</v>
      </c>
      <c r="F107" s="19">
        <v>2.5884E11</v>
      </c>
      <c r="G107" s="3" t="s">
        <v>995</v>
      </c>
      <c r="H107" s="3" t="s">
        <v>996</v>
      </c>
      <c r="I107" s="3" t="s">
        <v>996</v>
      </c>
      <c r="J107" s="3" t="s">
        <v>47</v>
      </c>
    </row>
    <row r="108">
      <c r="A108" s="4">
        <v>90169.0</v>
      </c>
      <c r="B108" s="3" t="s">
        <v>997</v>
      </c>
      <c r="C108" s="5">
        <v>46149.042280092595</v>
      </c>
      <c r="D108" s="3" t="s">
        <v>724</v>
      </c>
      <c r="E108" s="3" t="s">
        <v>998</v>
      </c>
      <c r="F108" s="4">
        <v>5.748494241E9</v>
      </c>
      <c r="G108" s="3" t="s">
        <v>612</v>
      </c>
      <c r="H108" s="3" t="s">
        <v>999</v>
      </c>
      <c r="I108" s="3" t="s">
        <v>1000</v>
      </c>
      <c r="J108" s="3" t="s">
        <v>47</v>
      </c>
    </row>
    <row r="109">
      <c r="A109" s="4">
        <v>90170.0</v>
      </c>
      <c r="B109" s="3" t="s">
        <v>1001</v>
      </c>
      <c r="C109" s="5">
        <v>46149.12486111111</v>
      </c>
      <c r="D109" s="3" t="s">
        <v>724</v>
      </c>
      <c r="E109" s="12"/>
      <c r="F109" s="12"/>
      <c r="G109" s="3" t="s">
        <v>612</v>
      </c>
      <c r="H109" s="3" t="s">
        <v>1002</v>
      </c>
      <c r="I109" s="3" t="s">
        <v>1003</v>
      </c>
      <c r="J109" s="3" t="s">
        <v>47</v>
      </c>
    </row>
    <row r="110">
      <c r="A110" s="4">
        <v>90171.0</v>
      </c>
      <c r="B110" s="3" t="s">
        <v>1004</v>
      </c>
      <c r="C110" s="5">
        <v>46149.137453703705</v>
      </c>
      <c r="D110" s="3" t="s">
        <v>724</v>
      </c>
      <c r="E110" s="3" t="s">
        <v>1005</v>
      </c>
      <c r="F110" s="4">
        <v>9.109323299E9</v>
      </c>
      <c r="G110" s="3" t="s">
        <v>50</v>
      </c>
      <c r="H110" s="3" t="s">
        <v>140</v>
      </c>
      <c r="I110" s="3" t="s">
        <v>139</v>
      </c>
      <c r="J110" s="3" t="s">
        <v>47</v>
      </c>
    </row>
    <row r="111">
      <c r="A111" s="4">
        <v>90172.0</v>
      </c>
      <c r="B111" s="3" t="s">
        <v>1006</v>
      </c>
      <c r="C111" s="5">
        <v>46149.32234953704</v>
      </c>
      <c r="D111" s="3" t="s">
        <v>724</v>
      </c>
      <c r="E111" s="3" t="s">
        <v>1007</v>
      </c>
      <c r="F111" s="4">
        <v>7.743875768E9</v>
      </c>
      <c r="G111" s="3" t="s">
        <v>612</v>
      </c>
      <c r="H111" s="3" t="s">
        <v>937</v>
      </c>
      <c r="I111" s="3" t="s">
        <v>1008</v>
      </c>
      <c r="J111" s="3" t="s">
        <v>47</v>
      </c>
    </row>
    <row r="112">
      <c r="A112" s="4">
        <v>90173.0</v>
      </c>
      <c r="B112" s="3" t="s">
        <v>1009</v>
      </c>
      <c r="C112" s="5">
        <v>46149.37842592593</v>
      </c>
      <c r="D112" s="3" t="s">
        <v>727</v>
      </c>
      <c r="E112" s="3" t="s">
        <v>1010</v>
      </c>
      <c r="F112" s="12" t="str">
        <f>+1 4083948158</f>
        <v>#ERROR!</v>
      </c>
      <c r="G112" s="3" t="s">
        <v>612</v>
      </c>
      <c r="H112" s="3" t="s">
        <v>937</v>
      </c>
      <c r="I112" s="3" t="s">
        <v>1011</v>
      </c>
      <c r="J112" s="3" t="s">
        <v>47</v>
      </c>
    </row>
    <row r="113">
      <c r="A113" s="4">
        <v>90174.0</v>
      </c>
      <c r="B113" s="3" t="s">
        <v>1012</v>
      </c>
      <c r="C113" s="5">
        <v>46149.42707175926</v>
      </c>
      <c r="D113" s="3" t="s">
        <v>724</v>
      </c>
      <c r="E113" s="3" t="s">
        <v>1013</v>
      </c>
      <c r="F113" s="4">
        <v>7.985328203E9</v>
      </c>
      <c r="G113" s="3" t="s">
        <v>50</v>
      </c>
      <c r="H113" s="3" t="s">
        <v>54</v>
      </c>
      <c r="I113" s="3" t="s">
        <v>105</v>
      </c>
      <c r="J113" s="3" t="s">
        <v>47</v>
      </c>
    </row>
    <row r="114">
      <c r="A114" s="4">
        <v>90175.0</v>
      </c>
      <c r="B114" s="3" t="s">
        <v>1014</v>
      </c>
      <c r="C114" s="5">
        <v>46149.43954861111</v>
      </c>
      <c r="D114" s="3" t="s">
        <v>724</v>
      </c>
      <c r="E114" s="3" t="s">
        <v>1015</v>
      </c>
      <c r="F114" s="4">
        <v>7.34882623E9</v>
      </c>
      <c r="G114" s="3" t="s">
        <v>50</v>
      </c>
      <c r="H114" s="3" t="s">
        <v>162</v>
      </c>
      <c r="I114" s="3" t="s">
        <v>161</v>
      </c>
      <c r="J114" s="3" t="s">
        <v>47</v>
      </c>
    </row>
    <row r="115">
      <c r="A115" s="4">
        <v>90176.0</v>
      </c>
      <c r="B115" s="3" t="s">
        <v>1016</v>
      </c>
      <c r="C115" s="5">
        <v>46149.46605324074</v>
      </c>
      <c r="D115" s="3" t="s">
        <v>724</v>
      </c>
      <c r="E115" s="3" t="s">
        <v>1017</v>
      </c>
      <c r="F115" s="4">
        <v>5.24209644E8</v>
      </c>
      <c r="G115" s="3" t="s">
        <v>273</v>
      </c>
      <c r="H115" s="3" t="s">
        <v>1018</v>
      </c>
      <c r="I115" s="3" t="s">
        <v>1018</v>
      </c>
      <c r="J115" s="3" t="s">
        <v>47</v>
      </c>
    </row>
    <row r="116">
      <c r="A116" s="4">
        <v>90177.0</v>
      </c>
      <c r="B116" s="3" t="s">
        <v>1019</v>
      </c>
      <c r="C116" s="5">
        <v>46149.51519675926</v>
      </c>
      <c r="D116" s="3" t="s">
        <v>724</v>
      </c>
      <c r="E116" s="3" t="s">
        <v>1020</v>
      </c>
      <c r="F116" s="4">
        <v>9.94082068E9</v>
      </c>
      <c r="G116" s="3" t="s">
        <v>50</v>
      </c>
      <c r="H116" s="3" t="s">
        <v>112</v>
      </c>
      <c r="I116" s="3" t="s">
        <v>508</v>
      </c>
      <c r="J116" s="3" t="s">
        <v>47</v>
      </c>
    </row>
    <row r="117">
      <c r="A117" s="4">
        <v>90178.0</v>
      </c>
      <c r="B117" s="3" t="s">
        <v>1021</v>
      </c>
      <c r="C117" s="5">
        <v>46149.522881944446</v>
      </c>
      <c r="D117" s="3" t="s">
        <v>724</v>
      </c>
      <c r="E117" s="3" t="s">
        <v>1022</v>
      </c>
      <c r="F117" s="4">
        <v>9.711980096E9</v>
      </c>
      <c r="G117" s="3" t="s">
        <v>50</v>
      </c>
      <c r="H117" s="3" t="s">
        <v>140</v>
      </c>
      <c r="I117" s="3" t="s">
        <v>140</v>
      </c>
      <c r="J117" s="3" t="s">
        <v>47</v>
      </c>
    </row>
    <row r="118">
      <c r="A118" s="4">
        <v>90179.0</v>
      </c>
      <c r="B118" s="3" t="s">
        <v>1023</v>
      </c>
      <c r="C118" s="5">
        <v>46149.535578703704</v>
      </c>
      <c r="D118" s="3" t="s">
        <v>727</v>
      </c>
      <c r="E118" s="3" t="s">
        <v>1024</v>
      </c>
      <c r="F118" s="4">
        <v>8.770333474E9</v>
      </c>
      <c r="G118" s="3" t="s">
        <v>50</v>
      </c>
      <c r="H118" s="3" t="s">
        <v>150</v>
      </c>
      <c r="I118" s="3" t="s">
        <v>548</v>
      </c>
      <c r="J118" s="3" t="s">
        <v>47</v>
      </c>
    </row>
    <row r="119">
      <c r="A119" s="4">
        <v>90180.0</v>
      </c>
      <c r="B119" s="3" t="s">
        <v>1025</v>
      </c>
      <c r="C119" s="5">
        <v>46149.540972222225</v>
      </c>
      <c r="E119" s="3" t="s">
        <v>1026</v>
      </c>
      <c r="F119" s="4">
        <v>6.363994468E9</v>
      </c>
      <c r="G119" s="12"/>
      <c r="H119" s="12"/>
      <c r="I119" s="12"/>
      <c r="J119" s="3" t="s">
        <v>1027</v>
      </c>
    </row>
    <row r="120">
      <c r="A120" s="4">
        <v>90181.0</v>
      </c>
      <c r="B120" s="3" t="s">
        <v>1028</v>
      </c>
      <c r="C120" s="5">
        <v>46149.54665509259</v>
      </c>
      <c r="D120" s="3" t="s">
        <v>724</v>
      </c>
      <c r="E120" s="3" t="s">
        <v>1029</v>
      </c>
      <c r="F120" s="4">
        <v>7.730035222E9</v>
      </c>
      <c r="G120" s="3" t="s">
        <v>50</v>
      </c>
      <c r="H120" s="3" t="s">
        <v>132</v>
      </c>
      <c r="I120" s="3" t="s">
        <v>972</v>
      </c>
      <c r="J120" s="3" t="s">
        <v>155</v>
      </c>
    </row>
    <row r="121">
      <c r="A121" s="4">
        <v>90183.0</v>
      </c>
      <c r="B121" s="3" t="s">
        <v>1030</v>
      </c>
      <c r="C121" s="5">
        <v>46149.549629629626</v>
      </c>
      <c r="E121" s="3" t="s">
        <v>1031</v>
      </c>
      <c r="F121" s="4">
        <v>1.237894561E9</v>
      </c>
      <c r="G121" s="12"/>
      <c r="H121" s="3" t="s">
        <v>64</v>
      </c>
      <c r="I121" s="3" t="s">
        <v>1032</v>
      </c>
      <c r="J121" s="3" t="s">
        <v>1027</v>
      </c>
    </row>
    <row r="122">
      <c r="A122" s="4">
        <v>90184.0</v>
      </c>
      <c r="B122" s="3" t="s">
        <v>1030</v>
      </c>
      <c r="C122" s="5">
        <v>46149.550046296295</v>
      </c>
      <c r="E122" s="3" t="s">
        <v>1033</v>
      </c>
      <c r="F122" s="4">
        <v>1.237894561E9</v>
      </c>
      <c r="G122" s="12"/>
      <c r="H122" s="3" t="s">
        <v>64</v>
      </c>
      <c r="I122" s="3" t="s">
        <v>1032</v>
      </c>
      <c r="J122" s="3" t="s">
        <v>1027</v>
      </c>
    </row>
    <row r="123">
      <c r="A123" s="4">
        <v>90185.0</v>
      </c>
      <c r="B123" s="3" t="s">
        <v>1034</v>
      </c>
      <c r="C123" s="5">
        <v>46149.6109375</v>
      </c>
      <c r="D123" s="3" t="s">
        <v>727</v>
      </c>
      <c r="E123" s="3" t="s">
        <v>1035</v>
      </c>
      <c r="F123" s="19">
        <v>9.1922E11</v>
      </c>
      <c r="G123" s="3" t="s">
        <v>50</v>
      </c>
      <c r="H123" s="3" t="s">
        <v>49</v>
      </c>
      <c r="I123" s="3" t="s">
        <v>1036</v>
      </c>
      <c r="J123" s="12"/>
      <c r="K123" s="12"/>
    </row>
    <row r="124">
      <c r="A124" s="4">
        <v>90186.0</v>
      </c>
      <c r="B124" s="3" t="s">
        <v>1037</v>
      </c>
      <c r="C124" s="5">
        <v>46149.62326388889</v>
      </c>
      <c r="D124" s="3" t="s">
        <v>724</v>
      </c>
      <c r="E124" s="3" t="s">
        <v>1038</v>
      </c>
      <c r="F124" s="4">
        <v>9.959729959E9</v>
      </c>
      <c r="G124" s="3" t="s">
        <v>50</v>
      </c>
      <c r="H124" s="3" t="s">
        <v>100</v>
      </c>
      <c r="I124" s="3" t="s">
        <v>1039</v>
      </c>
      <c r="J124" s="3" t="s">
        <v>47</v>
      </c>
    </row>
    <row r="125">
      <c r="A125" s="4">
        <v>90187.0</v>
      </c>
      <c r="B125" s="3" t="s">
        <v>1040</v>
      </c>
      <c r="C125" s="5">
        <v>46149.62920138889</v>
      </c>
      <c r="D125" s="3" t="s">
        <v>727</v>
      </c>
      <c r="E125" s="3" t="s">
        <v>1041</v>
      </c>
      <c r="F125" s="4">
        <v>7.694811E9</v>
      </c>
      <c r="G125" s="3" t="s">
        <v>50</v>
      </c>
      <c r="H125" s="3" t="s">
        <v>217</v>
      </c>
      <c r="I125" s="3" t="s">
        <v>216</v>
      </c>
      <c r="J125" s="3" t="s">
        <v>47</v>
      </c>
    </row>
    <row r="126">
      <c r="A126" s="4">
        <v>90188.0</v>
      </c>
      <c r="B126" s="3" t="s">
        <v>1042</v>
      </c>
      <c r="C126" s="5">
        <v>46149.643912037034</v>
      </c>
      <c r="D126" s="3" t="s">
        <v>724</v>
      </c>
      <c r="E126" s="3" t="s">
        <v>1043</v>
      </c>
      <c r="F126" s="4">
        <v>9.075402543E9</v>
      </c>
      <c r="G126" s="3" t="s">
        <v>50</v>
      </c>
      <c r="H126" s="3" t="s">
        <v>64</v>
      </c>
      <c r="I126" s="3" t="s">
        <v>1044</v>
      </c>
      <c r="J126" s="3" t="s">
        <v>47</v>
      </c>
    </row>
    <row r="127">
      <c r="A127" s="4">
        <v>90189.0</v>
      </c>
      <c r="B127" s="3" t="s">
        <v>1045</v>
      </c>
      <c r="C127" s="5">
        <v>46149.65634259259</v>
      </c>
      <c r="D127" s="3" t="s">
        <v>724</v>
      </c>
      <c r="E127" s="3" t="s">
        <v>1046</v>
      </c>
      <c r="F127" s="4">
        <v>7.257880549E9</v>
      </c>
      <c r="G127" s="3" t="s">
        <v>50</v>
      </c>
      <c r="H127" s="3" t="s">
        <v>140</v>
      </c>
      <c r="I127" s="3" t="s">
        <v>139</v>
      </c>
      <c r="J127" s="3" t="s">
        <v>47</v>
      </c>
    </row>
    <row r="128">
      <c r="A128" s="4">
        <v>90190.0</v>
      </c>
      <c r="B128" s="3" t="s">
        <v>1047</v>
      </c>
      <c r="C128" s="5">
        <v>46149.66568287037</v>
      </c>
      <c r="D128" s="3" t="s">
        <v>727</v>
      </c>
      <c r="E128" s="3" t="s">
        <v>1048</v>
      </c>
      <c r="F128" s="4">
        <v>7.972296357E9</v>
      </c>
      <c r="G128" s="3" t="s">
        <v>50</v>
      </c>
      <c r="H128" s="3" t="s">
        <v>64</v>
      </c>
      <c r="I128" s="3" t="s">
        <v>1049</v>
      </c>
      <c r="J128" s="3" t="s">
        <v>47</v>
      </c>
    </row>
    <row r="129">
      <c r="A129" s="4">
        <v>90191.0</v>
      </c>
      <c r="B129" s="3" t="s">
        <v>1050</v>
      </c>
      <c r="C129" s="5">
        <v>46149.68583333334</v>
      </c>
      <c r="D129" s="3" t="s">
        <v>727</v>
      </c>
      <c r="E129" s="12"/>
      <c r="F129" s="12"/>
      <c r="G129" s="3" t="s">
        <v>50</v>
      </c>
      <c r="H129" s="3" t="s">
        <v>64</v>
      </c>
      <c r="I129" s="3" t="s">
        <v>84</v>
      </c>
      <c r="J129" s="3" t="s">
        <v>47</v>
      </c>
    </row>
    <row r="130">
      <c r="A130" s="4">
        <v>90192.0</v>
      </c>
      <c r="B130" s="3" t="s">
        <v>1051</v>
      </c>
      <c r="C130" s="5">
        <v>46149.72167824074</v>
      </c>
      <c r="D130" s="3" t="s">
        <v>727</v>
      </c>
      <c r="E130" s="12"/>
      <c r="F130" s="12"/>
      <c r="G130" s="3" t="s">
        <v>50</v>
      </c>
      <c r="H130" s="3" t="s">
        <v>162</v>
      </c>
      <c r="I130" s="3" t="s">
        <v>161</v>
      </c>
      <c r="J130" s="3" t="s">
        <v>47</v>
      </c>
    </row>
    <row r="131">
      <c r="A131" s="4">
        <v>90193.0</v>
      </c>
      <c r="B131" s="3" t="s">
        <v>1052</v>
      </c>
      <c r="C131" s="5">
        <v>46149.85324074074</v>
      </c>
      <c r="D131" s="3" t="s">
        <v>724</v>
      </c>
      <c r="E131" s="3" t="s">
        <v>1053</v>
      </c>
      <c r="F131" s="4">
        <v>9.667115633E9</v>
      </c>
      <c r="G131" s="3" t="s">
        <v>50</v>
      </c>
      <c r="H131" s="3" t="s">
        <v>117</v>
      </c>
      <c r="I131" s="3" t="s">
        <v>168</v>
      </c>
      <c r="J131" s="3" t="s">
        <v>47</v>
      </c>
    </row>
    <row r="132">
      <c r="A132" s="4">
        <v>90194.0</v>
      </c>
      <c r="B132" s="3" t="s">
        <v>1054</v>
      </c>
      <c r="C132" s="5">
        <v>46149.89024305555</v>
      </c>
      <c r="D132" s="3" t="s">
        <v>724</v>
      </c>
      <c r="E132" s="3" t="s">
        <v>1055</v>
      </c>
      <c r="F132" s="4">
        <v>3.239743509E9</v>
      </c>
      <c r="G132" s="3" t="s">
        <v>612</v>
      </c>
      <c r="H132" s="3" t="s">
        <v>1056</v>
      </c>
      <c r="I132" s="3" t="s">
        <v>1057</v>
      </c>
      <c r="J132" s="3" t="s">
        <v>47</v>
      </c>
    </row>
    <row r="133">
      <c r="A133" s="4">
        <v>90195.0</v>
      </c>
      <c r="B133" s="3" t="s">
        <v>1058</v>
      </c>
      <c r="C133" s="5">
        <v>46149.9103125</v>
      </c>
      <c r="D133" s="3" t="s">
        <v>727</v>
      </c>
      <c r="E133" s="12"/>
      <c r="F133" s="12"/>
      <c r="G133" s="3" t="s">
        <v>50</v>
      </c>
      <c r="H133" s="3" t="s">
        <v>112</v>
      </c>
      <c r="I133" s="3" t="s">
        <v>508</v>
      </c>
      <c r="J133" s="3" t="s">
        <v>47</v>
      </c>
    </row>
    <row r="134">
      <c r="A134" s="4">
        <v>90196.0</v>
      </c>
      <c r="B134" s="3" t="s">
        <v>1059</v>
      </c>
      <c r="C134" s="5">
        <v>46149.91473379629</v>
      </c>
      <c r="D134" s="3" t="s">
        <v>727</v>
      </c>
      <c r="E134" s="3" t="s">
        <v>1060</v>
      </c>
      <c r="F134" s="4">
        <v>7.357244566E9</v>
      </c>
      <c r="G134" s="3" t="s">
        <v>50</v>
      </c>
      <c r="H134" s="3" t="s">
        <v>292</v>
      </c>
      <c r="I134" s="3" t="s">
        <v>518</v>
      </c>
      <c r="J134" s="3" t="s">
        <v>47</v>
      </c>
    </row>
    <row r="135">
      <c r="A135" s="4">
        <v>90197.0</v>
      </c>
      <c r="B135" s="3" t="s">
        <v>1061</v>
      </c>
      <c r="C135" s="5">
        <v>46149.977430555555</v>
      </c>
      <c r="D135" s="3" t="s">
        <v>724</v>
      </c>
      <c r="E135" s="3" t="s">
        <v>1062</v>
      </c>
      <c r="F135" s="4">
        <v>8.340459984E9</v>
      </c>
      <c r="G135" s="3" t="s">
        <v>50</v>
      </c>
      <c r="H135" s="3" t="s">
        <v>135</v>
      </c>
      <c r="I135" s="3" t="s">
        <v>395</v>
      </c>
      <c r="J135" s="3" t="s">
        <v>47</v>
      </c>
    </row>
    <row r="136">
      <c r="A136" s="4">
        <v>90198.0</v>
      </c>
      <c r="B136" s="3" t="s">
        <v>1063</v>
      </c>
      <c r="C136" s="5">
        <v>46150.02769675926</v>
      </c>
      <c r="D136" s="3" t="s">
        <v>724</v>
      </c>
      <c r="E136" s="3" t="s">
        <v>1064</v>
      </c>
      <c r="F136" s="4">
        <v>7.819843858E9</v>
      </c>
      <c r="G136" s="3" t="s">
        <v>50</v>
      </c>
      <c r="H136" s="3" t="s">
        <v>54</v>
      </c>
      <c r="I136" s="3" t="s">
        <v>145</v>
      </c>
      <c r="J136" s="12"/>
      <c r="K136" s="12"/>
    </row>
    <row r="137">
      <c r="A137" s="4">
        <v>90199.0</v>
      </c>
      <c r="B137" s="3" t="s">
        <v>1065</v>
      </c>
      <c r="C137" s="5">
        <v>46150.35986111111</v>
      </c>
      <c r="D137" s="3" t="s">
        <v>727</v>
      </c>
      <c r="E137" s="3" t="s">
        <v>1066</v>
      </c>
      <c r="F137" s="4">
        <v>6.205410462E9</v>
      </c>
      <c r="G137" s="3" t="s">
        <v>50</v>
      </c>
      <c r="H137" s="3" t="s">
        <v>529</v>
      </c>
      <c r="I137" s="3" t="s">
        <v>1067</v>
      </c>
      <c r="J137" s="3" t="s">
        <v>47</v>
      </c>
    </row>
    <row r="138">
      <c r="A138" s="4">
        <v>90200.0</v>
      </c>
      <c r="B138" s="3" t="s">
        <v>1068</v>
      </c>
      <c r="C138" s="5">
        <v>46150.44267361111</v>
      </c>
      <c r="D138" s="3" t="s">
        <v>727</v>
      </c>
      <c r="E138" s="3" t="s">
        <v>1069</v>
      </c>
      <c r="F138" s="4">
        <v>8.374756803E9</v>
      </c>
      <c r="G138" s="3" t="s">
        <v>50</v>
      </c>
      <c r="H138" s="3" t="s">
        <v>100</v>
      </c>
      <c r="I138" s="3" t="s">
        <v>99</v>
      </c>
      <c r="J138" s="3" t="s">
        <v>47</v>
      </c>
    </row>
    <row r="139">
      <c r="A139" s="4">
        <v>90201.0</v>
      </c>
      <c r="B139" s="3" t="s">
        <v>1070</v>
      </c>
      <c r="C139" s="5">
        <v>46150.564780092594</v>
      </c>
      <c r="D139" s="3" t="s">
        <v>724</v>
      </c>
      <c r="E139" s="3" t="s">
        <v>1071</v>
      </c>
      <c r="F139" s="4">
        <v>8.07649523E9</v>
      </c>
      <c r="G139" s="3" t="s">
        <v>50</v>
      </c>
      <c r="H139" s="3" t="s">
        <v>54</v>
      </c>
      <c r="I139" s="3" t="s">
        <v>145</v>
      </c>
      <c r="J139" s="3" t="s">
        <v>47</v>
      </c>
    </row>
    <row r="140">
      <c r="A140" s="4">
        <v>90202.0</v>
      </c>
      <c r="B140" s="3" t="s">
        <v>1072</v>
      </c>
      <c r="C140" s="5">
        <v>46150.56638888889</v>
      </c>
      <c r="D140" s="3" t="s">
        <v>724</v>
      </c>
      <c r="E140" s="3" t="s">
        <v>1073</v>
      </c>
      <c r="F140" s="4">
        <v>8.88796743E9</v>
      </c>
      <c r="G140" s="3" t="s">
        <v>50</v>
      </c>
      <c r="H140" s="3" t="s">
        <v>54</v>
      </c>
      <c r="I140" s="3" t="s">
        <v>659</v>
      </c>
      <c r="J140" s="3" t="s">
        <v>47</v>
      </c>
    </row>
    <row r="141">
      <c r="A141" s="4">
        <v>90203.0</v>
      </c>
      <c r="B141" s="3" t="s">
        <v>1074</v>
      </c>
      <c r="C141" s="5">
        <v>46150.61732638889</v>
      </c>
      <c r="D141" s="3" t="s">
        <v>724</v>
      </c>
      <c r="E141" s="3" t="s">
        <v>1075</v>
      </c>
      <c r="F141" s="19">
        <v>8.8691E11</v>
      </c>
      <c r="G141" s="3" t="s">
        <v>1076</v>
      </c>
      <c r="H141" s="3" t="s">
        <v>1077</v>
      </c>
      <c r="I141" s="3" t="s">
        <v>1078</v>
      </c>
      <c r="J141" s="3" t="s">
        <v>47</v>
      </c>
    </row>
    <row r="142">
      <c r="A142" s="4">
        <v>90204.0</v>
      </c>
      <c r="B142" s="3" t="s">
        <v>1079</v>
      </c>
      <c r="C142" s="5">
        <v>46150.64181712963</v>
      </c>
      <c r="D142" s="3" t="s">
        <v>724</v>
      </c>
      <c r="E142" s="3" t="s">
        <v>1080</v>
      </c>
      <c r="F142" s="12" t="str">
        <f>+91 91730-07170</f>
        <v>#ERROR!</v>
      </c>
      <c r="G142" s="3" t="s">
        <v>50</v>
      </c>
      <c r="H142" s="3" t="s">
        <v>150</v>
      </c>
      <c r="I142" s="3" t="s">
        <v>548</v>
      </c>
      <c r="J142" s="3" t="s">
        <v>47</v>
      </c>
    </row>
    <row r="143">
      <c r="A143" s="4">
        <v>90205.0</v>
      </c>
      <c r="B143" s="3" t="s">
        <v>1081</v>
      </c>
      <c r="C143" s="5">
        <v>46150.726018518515</v>
      </c>
      <c r="D143" s="3" t="s">
        <v>724</v>
      </c>
      <c r="E143" s="3" t="s">
        <v>1082</v>
      </c>
      <c r="F143" s="4">
        <v>7.003890411E9</v>
      </c>
      <c r="G143" s="3" t="s">
        <v>50</v>
      </c>
      <c r="H143" s="3" t="s">
        <v>175</v>
      </c>
      <c r="I143" s="3" t="s">
        <v>174</v>
      </c>
      <c r="J143" s="3" t="s">
        <v>47</v>
      </c>
    </row>
    <row r="144">
      <c r="A144" s="4">
        <v>90206.0</v>
      </c>
      <c r="B144" s="3" t="s">
        <v>1083</v>
      </c>
      <c r="C144" s="5">
        <v>46150.73880787037</v>
      </c>
      <c r="D144" s="3" t="s">
        <v>727</v>
      </c>
      <c r="E144" s="3" t="s">
        <v>1084</v>
      </c>
      <c r="F144" s="19">
        <v>9.1621E11</v>
      </c>
      <c r="G144" s="3" t="s">
        <v>405</v>
      </c>
      <c r="H144" s="3" t="s">
        <v>1085</v>
      </c>
      <c r="I144" s="3" t="s">
        <v>1085</v>
      </c>
      <c r="J144" s="12"/>
      <c r="K144" s="12"/>
    </row>
    <row r="145">
      <c r="A145" s="4">
        <v>90207.0</v>
      </c>
      <c r="B145" s="3" t="s">
        <v>1086</v>
      </c>
      <c r="C145" s="5">
        <v>46150.774039351854</v>
      </c>
      <c r="D145" s="3" t="s">
        <v>724</v>
      </c>
      <c r="E145" s="3" t="s">
        <v>1087</v>
      </c>
      <c r="F145" s="4">
        <v>9.676136345E9</v>
      </c>
      <c r="G145" s="3" t="s">
        <v>50</v>
      </c>
      <c r="H145" s="3" t="s">
        <v>100</v>
      </c>
      <c r="I145" s="3" t="s">
        <v>99</v>
      </c>
      <c r="J145" s="3" t="s">
        <v>47</v>
      </c>
    </row>
    <row r="146">
      <c r="A146" s="4">
        <v>90208.0</v>
      </c>
      <c r="B146" s="3" t="s">
        <v>1088</v>
      </c>
      <c r="C146" s="5">
        <v>46150.81365740741</v>
      </c>
      <c r="D146" s="3" t="s">
        <v>727</v>
      </c>
      <c r="E146" s="3" t="s">
        <v>1089</v>
      </c>
      <c r="F146" s="4">
        <v>9.822788767E9</v>
      </c>
      <c r="G146" s="3" t="s">
        <v>50</v>
      </c>
      <c r="H146" s="3" t="s">
        <v>64</v>
      </c>
      <c r="I146" s="3" t="s">
        <v>1049</v>
      </c>
      <c r="J146" s="3" t="s">
        <v>319</v>
      </c>
    </row>
    <row r="147">
      <c r="A147" s="4">
        <v>90209.0</v>
      </c>
      <c r="B147" s="3" t="s">
        <v>1090</v>
      </c>
      <c r="C147" s="5">
        <v>46150.87023148148</v>
      </c>
      <c r="D147" s="3" t="s">
        <v>727</v>
      </c>
      <c r="E147" s="3" t="s">
        <v>1091</v>
      </c>
      <c r="F147" s="4">
        <v>7.628085807E9</v>
      </c>
      <c r="G147" s="3" t="s">
        <v>50</v>
      </c>
      <c r="H147" s="3" t="s">
        <v>1092</v>
      </c>
      <c r="I147" s="3" t="s">
        <v>1093</v>
      </c>
      <c r="J147" s="3" t="s">
        <v>47</v>
      </c>
    </row>
    <row r="148">
      <c r="A148" s="4">
        <v>90210.0</v>
      </c>
      <c r="B148" s="3" t="s">
        <v>1094</v>
      </c>
      <c r="C148" s="5">
        <v>46150.88523148148</v>
      </c>
      <c r="D148" s="3" t="s">
        <v>727</v>
      </c>
      <c r="E148" s="3" t="s">
        <v>1095</v>
      </c>
      <c r="F148" s="4">
        <v>6.20750672E9</v>
      </c>
      <c r="G148" s="3" t="s">
        <v>50</v>
      </c>
      <c r="H148" s="3" t="s">
        <v>529</v>
      </c>
      <c r="I148" s="3" t="s">
        <v>1096</v>
      </c>
      <c r="J148" s="3" t="s">
        <v>47</v>
      </c>
    </row>
    <row r="149">
      <c r="A149" s="4">
        <v>90211.0</v>
      </c>
      <c r="B149" s="3" t="s">
        <v>1097</v>
      </c>
      <c r="C149" s="5">
        <v>46150.89417824074</v>
      </c>
      <c r="E149" s="3" t="s">
        <v>1098</v>
      </c>
      <c r="F149" s="4">
        <v>8.580643885E9</v>
      </c>
      <c r="G149" s="12"/>
      <c r="H149" s="12"/>
      <c r="I149" s="12"/>
      <c r="J149" s="3" t="s">
        <v>1099</v>
      </c>
      <c r="K149" s="12"/>
    </row>
    <row r="150">
      <c r="A150" s="4">
        <v>90212.0</v>
      </c>
      <c r="B150" s="3" t="s">
        <v>1100</v>
      </c>
      <c r="C150" s="5">
        <v>46150.901921296296</v>
      </c>
      <c r="D150" s="3" t="s">
        <v>724</v>
      </c>
      <c r="E150" s="3" t="s">
        <v>1101</v>
      </c>
      <c r="F150" s="4">
        <v>6.301873673E9</v>
      </c>
      <c r="G150" s="3" t="s">
        <v>50</v>
      </c>
      <c r="H150" s="3" t="s">
        <v>100</v>
      </c>
      <c r="I150" s="3" t="s">
        <v>99</v>
      </c>
      <c r="J150" s="3" t="s">
        <v>47</v>
      </c>
    </row>
    <row r="151">
      <c r="A151" s="4">
        <v>90213.0</v>
      </c>
      <c r="B151" s="3" t="s">
        <v>1102</v>
      </c>
      <c r="C151" s="5">
        <v>46150.9071875</v>
      </c>
      <c r="D151" s="3" t="s">
        <v>724</v>
      </c>
      <c r="E151" s="3" t="s">
        <v>1103</v>
      </c>
      <c r="F151" s="4">
        <v>7.03953749E9</v>
      </c>
      <c r="G151" s="3" t="s">
        <v>612</v>
      </c>
      <c r="H151" s="3" t="s">
        <v>1104</v>
      </c>
      <c r="I151" s="3" t="s">
        <v>1105</v>
      </c>
      <c r="J151" s="3" t="s">
        <v>47</v>
      </c>
    </row>
    <row r="152">
      <c r="A152" s="4">
        <v>90214.0</v>
      </c>
      <c r="B152" s="3" t="s">
        <v>1106</v>
      </c>
      <c r="C152" s="5">
        <v>46150.9528587963</v>
      </c>
      <c r="D152" s="3" t="s">
        <v>724</v>
      </c>
      <c r="E152" s="3" t="s">
        <v>1107</v>
      </c>
      <c r="F152" s="4">
        <v>6.281422776E9</v>
      </c>
      <c r="G152" s="3" t="s">
        <v>50</v>
      </c>
      <c r="H152" s="3" t="s">
        <v>750</v>
      </c>
      <c r="I152" s="3" t="s">
        <v>1108</v>
      </c>
      <c r="J152" s="3" t="s">
        <v>47</v>
      </c>
    </row>
    <row r="153">
      <c r="A153" s="4">
        <v>90215.0</v>
      </c>
      <c r="B153" s="3" t="s">
        <v>1109</v>
      </c>
      <c r="C153" s="5">
        <v>46150.960069444445</v>
      </c>
      <c r="D153" s="3" t="s">
        <v>727</v>
      </c>
      <c r="E153" s="3" t="s">
        <v>1110</v>
      </c>
      <c r="F153" s="4">
        <v>7.205315193E9</v>
      </c>
      <c r="G153" s="3" t="s">
        <v>50</v>
      </c>
      <c r="H153" s="3" t="s">
        <v>175</v>
      </c>
      <c r="I153" s="3" t="s">
        <v>1111</v>
      </c>
      <c r="J153" s="3" t="s">
        <v>47</v>
      </c>
    </row>
    <row r="154">
      <c r="A154" s="4">
        <v>90227.0</v>
      </c>
      <c r="B154" s="3" t="s">
        <v>1112</v>
      </c>
      <c r="C154" s="5">
        <v>46151.45556712963</v>
      </c>
      <c r="D154" s="3" t="s">
        <v>727</v>
      </c>
      <c r="E154" s="3" t="s">
        <v>1113</v>
      </c>
      <c r="F154" s="4">
        <v>9.614575984E9</v>
      </c>
      <c r="G154" s="3" t="s">
        <v>50</v>
      </c>
      <c r="H154" s="3" t="s">
        <v>175</v>
      </c>
      <c r="I154" s="3" t="s">
        <v>1114</v>
      </c>
      <c r="J154" s="3" t="s">
        <v>47</v>
      </c>
    </row>
    <row r="155">
      <c r="A155" s="4">
        <v>90228.0</v>
      </c>
      <c r="B155" s="3" t="s">
        <v>1115</v>
      </c>
      <c r="C155" s="5">
        <v>46151.46074074074</v>
      </c>
      <c r="D155" s="3" t="s">
        <v>724</v>
      </c>
      <c r="E155" s="3" t="s">
        <v>1116</v>
      </c>
      <c r="F155" s="4">
        <v>7.983620508E9</v>
      </c>
      <c r="G155" s="3" t="s">
        <v>50</v>
      </c>
      <c r="H155" s="3" t="s">
        <v>54</v>
      </c>
      <c r="I155" s="3" t="s">
        <v>1117</v>
      </c>
      <c r="J155" s="3" t="s">
        <v>47</v>
      </c>
    </row>
    <row r="156">
      <c r="A156" s="4">
        <v>90229.0</v>
      </c>
      <c r="B156" s="3" t="s">
        <v>1118</v>
      </c>
      <c r="C156" s="5">
        <v>46151.50545138889</v>
      </c>
      <c r="D156" s="3" t="s">
        <v>724</v>
      </c>
      <c r="E156" s="3" t="s">
        <v>1119</v>
      </c>
      <c r="F156" s="4">
        <v>9.337669848E9</v>
      </c>
      <c r="G156" s="3" t="s">
        <v>50</v>
      </c>
      <c r="H156" s="3" t="s">
        <v>132</v>
      </c>
      <c r="I156" s="3" t="s">
        <v>1120</v>
      </c>
      <c r="J156" s="3" t="s">
        <v>47</v>
      </c>
    </row>
    <row r="157">
      <c r="A157" s="4">
        <v>90230.0</v>
      </c>
      <c r="B157" s="3" t="s">
        <v>1121</v>
      </c>
      <c r="C157" s="5">
        <v>46151.508125</v>
      </c>
      <c r="D157" s="3" t="s">
        <v>727</v>
      </c>
      <c r="E157" s="3" t="s">
        <v>1122</v>
      </c>
      <c r="F157" s="12" t="str">
        <f>+91 92630 18955</f>
        <v>#ERROR!</v>
      </c>
      <c r="G157" s="3" t="s">
        <v>50</v>
      </c>
      <c r="H157" s="3" t="s">
        <v>529</v>
      </c>
      <c r="I157" s="3" t="s">
        <v>1123</v>
      </c>
      <c r="J157" s="3" t="s">
        <v>47</v>
      </c>
    </row>
    <row r="158">
      <c r="A158" s="4">
        <v>90231.0</v>
      </c>
      <c r="B158" s="3" t="s">
        <v>1124</v>
      </c>
      <c r="C158" s="5">
        <v>46151.573599537034</v>
      </c>
      <c r="D158" s="3" t="s">
        <v>724</v>
      </c>
      <c r="E158" s="3" t="s">
        <v>1125</v>
      </c>
      <c r="F158" s="4">
        <v>9.019537068E9</v>
      </c>
      <c r="G158" s="3" t="s">
        <v>50</v>
      </c>
      <c r="H158" s="3" t="s">
        <v>162</v>
      </c>
      <c r="I158" s="3" t="s">
        <v>1126</v>
      </c>
      <c r="J158" s="3" t="s">
        <v>47</v>
      </c>
    </row>
    <row r="159">
      <c r="A159" s="4">
        <v>90232.0</v>
      </c>
      <c r="B159" s="3" t="s">
        <v>1127</v>
      </c>
      <c r="C159" s="5">
        <v>46151.60056712963</v>
      </c>
      <c r="D159" s="3" t="s">
        <v>727</v>
      </c>
      <c r="E159" s="3" t="s">
        <v>1128</v>
      </c>
      <c r="F159" s="4">
        <v>8.595901221E9</v>
      </c>
      <c r="G159" s="3" t="s">
        <v>50</v>
      </c>
      <c r="H159" s="3" t="s">
        <v>140</v>
      </c>
      <c r="I159" s="3" t="s">
        <v>139</v>
      </c>
      <c r="J159" s="3" t="s">
        <v>47</v>
      </c>
    </row>
    <row r="160">
      <c r="A160" s="4">
        <v>90233.0</v>
      </c>
      <c r="B160" s="3" t="s">
        <v>1129</v>
      </c>
      <c r="C160" s="5">
        <v>46151.71894675926</v>
      </c>
      <c r="D160" s="3" t="s">
        <v>724</v>
      </c>
      <c r="E160" s="3" t="s">
        <v>1130</v>
      </c>
      <c r="F160" s="4">
        <v>9.398976388E9</v>
      </c>
      <c r="G160" s="3" t="s">
        <v>50</v>
      </c>
      <c r="H160" s="3" t="s">
        <v>100</v>
      </c>
      <c r="I160" s="3" t="s">
        <v>99</v>
      </c>
      <c r="J160" s="3" t="s">
        <v>47</v>
      </c>
    </row>
    <row r="161">
      <c r="A161" s="4">
        <v>90234.0</v>
      </c>
      <c r="B161" s="3" t="s">
        <v>1131</v>
      </c>
      <c r="C161" s="5">
        <v>46151.73296296296</v>
      </c>
      <c r="D161" s="3" t="s">
        <v>724</v>
      </c>
      <c r="E161" s="3" t="s">
        <v>1132</v>
      </c>
      <c r="F161" s="4">
        <v>9.665059328E9</v>
      </c>
      <c r="G161" s="3" t="s">
        <v>50</v>
      </c>
      <c r="H161" s="3" t="s">
        <v>64</v>
      </c>
      <c r="I161" s="3" t="s">
        <v>1133</v>
      </c>
      <c r="J161" s="3" t="s">
        <v>47</v>
      </c>
    </row>
    <row r="162">
      <c r="A162" s="4">
        <v>90235.0</v>
      </c>
      <c r="B162" s="3" t="s">
        <v>1134</v>
      </c>
      <c r="C162" s="5">
        <v>46151.837175925924</v>
      </c>
      <c r="D162" s="3" t="s">
        <v>727</v>
      </c>
      <c r="E162" s="3" t="s">
        <v>1135</v>
      </c>
      <c r="F162" s="4">
        <v>9.641132188E9</v>
      </c>
      <c r="G162" s="3" t="s">
        <v>50</v>
      </c>
      <c r="H162" s="3" t="s">
        <v>175</v>
      </c>
      <c r="I162" s="3" t="s">
        <v>1136</v>
      </c>
      <c r="J162" s="3" t="s">
        <v>47</v>
      </c>
    </row>
    <row r="163">
      <c r="A163" s="4">
        <v>90236.0</v>
      </c>
      <c r="B163" s="3" t="s">
        <v>1137</v>
      </c>
      <c r="C163" s="5">
        <v>46151.93311342593</v>
      </c>
      <c r="D163" s="3" t="s">
        <v>724</v>
      </c>
      <c r="E163" s="3" t="s">
        <v>1138</v>
      </c>
      <c r="F163" s="4">
        <v>8.824765342E9</v>
      </c>
      <c r="G163" s="3" t="s">
        <v>50</v>
      </c>
      <c r="H163" s="3" t="s">
        <v>292</v>
      </c>
      <c r="I163" s="3" t="s">
        <v>291</v>
      </c>
      <c r="J163" s="3" t="s">
        <v>47</v>
      </c>
    </row>
    <row r="164">
      <c r="A164" s="4">
        <v>90237.0</v>
      </c>
      <c r="B164" s="3" t="s">
        <v>1139</v>
      </c>
      <c r="C164" s="5">
        <v>46151.945497685185</v>
      </c>
      <c r="D164" s="3" t="s">
        <v>727</v>
      </c>
      <c r="E164" s="3" t="s">
        <v>1140</v>
      </c>
      <c r="F164" s="4">
        <v>6.378830122E9</v>
      </c>
      <c r="G164" s="3" t="s">
        <v>50</v>
      </c>
      <c r="H164" s="3" t="s">
        <v>292</v>
      </c>
      <c r="I164" s="3" t="s">
        <v>1141</v>
      </c>
      <c r="J164" s="3" t="s">
        <v>47</v>
      </c>
    </row>
    <row r="165">
      <c r="A165" s="4">
        <v>90238.0</v>
      </c>
      <c r="B165" s="3" t="s">
        <v>1142</v>
      </c>
      <c r="C165" s="5">
        <v>46152.225381944445</v>
      </c>
      <c r="D165" s="3" t="s">
        <v>724</v>
      </c>
      <c r="E165" s="3" t="s">
        <v>1143</v>
      </c>
      <c r="F165" s="19">
        <v>1.5139E10</v>
      </c>
      <c r="G165" s="3" t="s">
        <v>612</v>
      </c>
      <c r="H165" s="3" t="s">
        <v>1144</v>
      </c>
      <c r="I165" s="3" t="s">
        <v>1145</v>
      </c>
      <c r="J165" s="3" t="s">
        <v>47</v>
      </c>
    </row>
    <row r="166">
      <c r="A166" s="4">
        <v>90239.0</v>
      </c>
      <c r="B166" s="3" t="s">
        <v>1146</v>
      </c>
      <c r="C166" s="5">
        <v>46152.3683912037</v>
      </c>
      <c r="D166" s="3" t="s">
        <v>727</v>
      </c>
      <c r="E166" s="3" t="s">
        <v>1147</v>
      </c>
      <c r="F166" s="4">
        <v>8.057708301E9</v>
      </c>
      <c r="G166" s="3" t="s">
        <v>50</v>
      </c>
      <c r="H166" s="3" t="s">
        <v>529</v>
      </c>
      <c r="I166" s="3" t="s">
        <v>1148</v>
      </c>
      <c r="J166" s="3" t="s">
        <v>47</v>
      </c>
    </row>
    <row r="167">
      <c r="A167" s="4">
        <v>90240.0</v>
      </c>
      <c r="B167" s="3" t="s">
        <v>1149</v>
      </c>
      <c r="C167" s="5">
        <v>46152.374872685185</v>
      </c>
      <c r="D167" s="3" t="s">
        <v>727</v>
      </c>
      <c r="E167" s="3" t="s">
        <v>1150</v>
      </c>
      <c r="F167" s="4">
        <v>9.941679237E9</v>
      </c>
      <c r="G167" s="3" t="s">
        <v>50</v>
      </c>
      <c r="H167" s="3" t="s">
        <v>112</v>
      </c>
      <c r="I167" s="3" t="s">
        <v>508</v>
      </c>
      <c r="J167" s="3" t="s">
        <v>47</v>
      </c>
    </row>
    <row r="168">
      <c r="A168" s="4">
        <v>90241.0</v>
      </c>
      <c r="B168" s="3" t="s">
        <v>1151</v>
      </c>
      <c r="C168" s="5">
        <v>46152.43644675926</v>
      </c>
      <c r="D168" s="3" t="s">
        <v>724</v>
      </c>
      <c r="E168" s="3" t="s">
        <v>1152</v>
      </c>
      <c r="F168" s="4">
        <v>5.015291601E9</v>
      </c>
      <c r="G168" s="3" t="s">
        <v>612</v>
      </c>
      <c r="H168" s="3" t="s">
        <v>1153</v>
      </c>
      <c r="I168" s="3" t="s">
        <v>1154</v>
      </c>
      <c r="J168" s="3" t="s">
        <v>47</v>
      </c>
    </row>
    <row r="169">
      <c r="A169" s="4">
        <v>90242.0</v>
      </c>
      <c r="B169" s="3" t="s">
        <v>1155</v>
      </c>
      <c r="C169" s="5">
        <v>46152.63619212963</v>
      </c>
      <c r="D169" s="3" t="s">
        <v>724</v>
      </c>
      <c r="E169" s="3" t="s">
        <v>1156</v>
      </c>
      <c r="F169" s="4">
        <v>9.702403488E9</v>
      </c>
      <c r="G169" s="3" t="s">
        <v>50</v>
      </c>
      <c r="H169" s="3" t="s">
        <v>64</v>
      </c>
      <c r="I169" s="3" t="s">
        <v>307</v>
      </c>
      <c r="J169" s="3" t="s">
        <v>47</v>
      </c>
    </row>
    <row r="170">
      <c r="A170" s="4">
        <v>90243.0</v>
      </c>
      <c r="B170" s="3" t="s">
        <v>1157</v>
      </c>
      <c r="C170" s="5">
        <v>46152.70511574074</v>
      </c>
      <c r="D170" s="3" t="s">
        <v>724</v>
      </c>
      <c r="E170" s="3" t="s">
        <v>1158</v>
      </c>
      <c r="F170" s="4">
        <v>6.297495257E9</v>
      </c>
      <c r="G170" s="3" t="s">
        <v>50</v>
      </c>
      <c r="H170" s="3" t="s">
        <v>175</v>
      </c>
      <c r="I170" s="3" t="s">
        <v>1159</v>
      </c>
      <c r="J170" s="3" t="s">
        <v>47</v>
      </c>
    </row>
    <row r="171">
      <c r="A171" s="4">
        <v>90244.0</v>
      </c>
      <c r="B171" s="3" t="s">
        <v>1160</v>
      </c>
      <c r="C171" s="5">
        <v>46152.728310185186</v>
      </c>
      <c r="D171" s="3" t="s">
        <v>724</v>
      </c>
      <c r="E171" s="3" t="s">
        <v>1161</v>
      </c>
      <c r="F171" s="4">
        <v>7.842331544E9</v>
      </c>
      <c r="G171" s="3" t="s">
        <v>50</v>
      </c>
      <c r="H171" s="3" t="s">
        <v>750</v>
      </c>
      <c r="I171" s="3" t="s">
        <v>1162</v>
      </c>
      <c r="J171" s="3" t="s">
        <v>47</v>
      </c>
    </row>
    <row r="172">
      <c r="A172" s="4">
        <v>90245.0</v>
      </c>
      <c r="B172" s="3" t="s">
        <v>1163</v>
      </c>
      <c r="C172" s="5">
        <v>46152.835</v>
      </c>
      <c r="D172" s="3" t="s">
        <v>724</v>
      </c>
      <c r="E172" s="3" t="s">
        <v>1164</v>
      </c>
      <c r="F172" s="4">
        <v>8.828420716E9</v>
      </c>
      <c r="G172" s="3" t="s">
        <v>50</v>
      </c>
      <c r="H172" s="3" t="s">
        <v>64</v>
      </c>
      <c r="I172" s="3" t="s">
        <v>84</v>
      </c>
      <c r="J172" s="3" t="s">
        <v>47</v>
      </c>
    </row>
    <row r="173">
      <c r="A173" s="4">
        <v>90246.0</v>
      </c>
      <c r="B173" s="3" t="s">
        <v>1165</v>
      </c>
      <c r="C173" s="5">
        <v>46152.87143518519</v>
      </c>
      <c r="D173" s="3" t="s">
        <v>724</v>
      </c>
      <c r="E173" s="3" t="s">
        <v>1166</v>
      </c>
      <c r="F173" s="4">
        <v>7.90466417E9</v>
      </c>
      <c r="G173" s="3" t="s">
        <v>50</v>
      </c>
      <c r="H173" s="3" t="s">
        <v>112</v>
      </c>
      <c r="I173" s="3" t="s">
        <v>508</v>
      </c>
      <c r="J173" s="3" t="s">
        <v>47</v>
      </c>
    </row>
    <row r="174">
      <c r="A174" s="4">
        <v>90247.0</v>
      </c>
      <c r="B174" s="3" t="s">
        <v>1167</v>
      </c>
      <c r="C174" s="5">
        <v>46152.886296296296</v>
      </c>
      <c r="D174" s="3" t="s">
        <v>724</v>
      </c>
      <c r="E174" s="3" t="s">
        <v>1168</v>
      </c>
      <c r="F174" s="4">
        <v>6.362071521E9</v>
      </c>
      <c r="G174" s="3" t="s">
        <v>50</v>
      </c>
      <c r="H174" s="3" t="s">
        <v>162</v>
      </c>
      <c r="I174" s="3" t="s">
        <v>161</v>
      </c>
      <c r="J174" s="3" t="s">
        <v>47</v>
      </c>
    </row>
    <row r="175">
      <c r="A175" s="4">
        <v>90248.0</v>
      </c>
      <c r="B175" s="3" t="s">
        <v>1169</v>
      </c>
      <c r="C175" s="5">
        <v>46152.956608796296</v>
      </c>
      <c r="D175" s="3" t="s">
        <v>727</v>
      </c>
      <c r="E175" s="3" t="s">
        <v>1170</v>
      </c>
      <c r="F175" s="4">
        <v>9.345853156E9</v>
      </c>
      <c r="G175" s="3" t="s">
        <v>50</v>
      </c>
      <c r="H175" s="3" t="s">
        <v>112</v>
      </c>
      <c r="I175" s="3" t="s">
        <v>1171</v>
      </c>
      <c r="J175" s="3" t="s">
        <v>47</v>
      </c>
    </row>
    <row r="176">
      <c r="A176" s="4">
        <v>90249.0</v>
      </c>
      <c r="B176" s="3" t="s">
        <v>1172</v>
      </c>
      <c r="C176" s="5">
        <v>46153.046273148146</v>
      </c>
      <c r="D176" s="3" t="s">
        <v>724</v>
      </c>
      <c r="E176" s="3" t="s">
        <v>1173</v>
      </c>
      <c r="F176" s="4">
        <v>9.279915955E9</v>
      </c>
      <c r="G176" s="3" t="s">
        <v>809</v>
      </c>
      <c r="H176" s="3" t="s">
        <v>1174</v>
      </c>
      <c r="I176" s="3" t="s">
        <v>1175</v>
      </c>
      <c r="J176" s="3" t="s">
        <v>47</v>
      </c>
    </row>
    <row r="177">
      <c r="A177" s="4">
        <v>90250.0</v>
      </c>
      <c r="B177" s="3" t="s">
        <v>1176</v>
      </c>
      <c r="C177" s="5">
        <v>46153.05216435185</v>
      </c>
      <c r="D177" s="3" t="s">
        <v>727</v>
      </c>
      <c r="E177" s="3" t="s">
        <v>1177</v>
      </c>
      <c r="F177" s="4">
        <v>6.398640349E9</v>
      </c>
      <c r="G177" s="3" t="s">
        <v>50</v>
      </c>
      <c r="H177" s="3" t="s">
        <v>54</v>
      </c>
      <c r="I177" s="3" t="s">
        <v>1178</v>
      </c>
      <c r="J177" s="3" t="s">
        <v>47</v>
      </c>
    </row>
    <row r="178">
      <c r="A178" s="4">
        <v>90251.0</v>
      </c>
      <c r="B178" s="3" t="s">
        <v>1179</v>
      </c>
      <c r="C178" s="5">
        <v>46153.06774305556</v>
      </c>
      <c r="D178" s="3" t="s">
        <v>724</v>
      </c>
      <c r="E178" s="3" t="s">
        <v>1180</v>
      </c>
      <c r="F178" s="19">
        <v>9.1784E11</v>
      </c>
      <c r="G178" s="3" t="s">
        <v>1181</v>
      </c>
      <c r="H178" s="3" t="s">
        <v>1182</v>
      </c>
      <c r="I178" s="3" t="s">
        <v>1182</v>
      </c>
      <c r="J178" s="3" t="s">
        <v>47</v>
      </c>
    </row>
    <row r="179">
      <c r="A179" s="4">
        <v>90252.0</v>
      </c>
      <c r="B179" s="3" t="s">
        <v>1183</v>
      </c>
      <c r="C179" s="5">
        <v>46153.25170138889</v>
      </c>
      <c r="D179" s="3" t="s">
        <v>724</v>
      </c>
      <c r="E179" s="3" t="s">
        <v>1184</v>
      </c>
      <c r="F179" s="4">
        <v>2.103070477E9</v>
      </c>
      <c r="G179" s="3" t="s">
        <v>612</v>
      </c>
      <c r="H179" s="3" t="s">
        <v>813</v>
      </c>
      <c r="I179" s="3" t="s">
        <v>1185</v>
      </c>
      <c r="J179" s="3" t="s">
        <v>47</v>
      </c>
    </row>
    <row r="180">
      <c r="A180" s="4">
        <v>90253.0</v>
      </c>
      <c r="B180" s="3" t="s">
        <v>1186</v>
      </c>
      <c r="C180" s="5">
        <v>46153.40530092592</v>
      </c>
      <c r="D180" s="3" t="s">
        <v>724</v>
      </c>
      <c r="E180" s="3" t="s">
        <v>1187</v>
      </c>
      <c r="F180" s="4">
        <v>7.073981739E9</v>
      </c>
      <c r="G180" s="3" t="s">
        <v>754</v>
      </c>
      <c r="H180" s="3" t="s">
        <v>755</v>
      </c>
      <c r="I180" s="3" t="s">
        <v>756</v>
      </c>
      <c r="J180" s="3" t="s">
        <v>47</v>
      </c>
    </row>
    <row r="181">
      <c r="A181" s="4">
        <v>90254.0</v>
      </c>
      <c r="B181" s="3" t="s">
        <v>1188</v>
      </c>
      <c r="C181" s="5">
        <v>46153.41339120371</v>
      </c>
      <c r="D181" s="3" t="s">
        <v>724</v>
      </c>
      <c r="E181" s="3" t="s">
        <v>1189</v>
      </c>
      <c r="F181" s="4">
        <v>9.422331175E9</v>
      </c>
      <c r="G181" s="3" t="s">
        <v>50</v>
      </c>
      <c r="H181" s="3" t="s">
        <v>64</v>
      </c>
      <c r="I181" s="3" t="s">
        <v>94</v>
      </c>
      <c r="J181" s="3" t="s">
        <v>47</v>
      </c>
    </row>
    <row r="182">
      <c r="A182" s="4">
        <v>90255.0</v>
      </c>
      <c r="B182" s="3" t="s">
        <v>1190</v>
      </c>
      <c r="C182" s="5">
        <v>46153.47241898148</v>
      </c>
      <c r="D182" s="3" t="s">
        <v>727</v>
      </c>
      <c r="E182" s="3" t="s">
        <v>1191</v>
      </c>
      <c r="F182" s="4">
        <v>8.925635207E9</v>
      </c>
      <c r="G182" s="3" t="s">
        <v>50</v>
      </c>
      <c r="H182" s="3" t="s">
        <v>112</v>
      </c>
      <c r="I182" s="3" t="s">
        <v>508</v>
      </c>
      <c r="J182" s="3" t="s">
        <v>47</v>
      </c>
    </row>
    <row r="183">
      <c r="A183" s="4">
        <v>90256.0</v>
      </c>
      <c r="B183" s="3" t="s">
        <v>1192</v>
      </c>
      <c r="C183" s="5">
        <v>46153.55604166666</v>
      </c>
      <c r="D183" s="3" t="s">
        <v>724</v>
      </c>
      <c r="E183" s="3" t="s">
        <v>1193</v>
      </c>
      <c r="F183" s="4">
        <v>9.797770509E9</v>
      </c>
      <c r="G183" s="3" t="s">
        <v>50</v>
      </c>
      <c r="H183" s="3" t="s">
        <v>366</v>
      </c>
      <c r="I183" s="3" t="s">
        <v>365</v>
      </c>
      <c r="J183" s="3" t="s">
        <v>47</v>
      </c>
    </row>
    <row r="184">
      <c r="A184" s="4">
        <v>90257.0</v>
      </c>
      <c r="B184" s="3" t="s">
        <v>1194</v>
      </c>
      <c r="C184" s="5">
        <v>46153.57025462963</v>
      </c>
      <c r="D184" s="3" t="s">
        <v>724</v>
      </c>
      <c r="E184" s="3" t="s">
        <v>1195</v>
      </c>
      <c r="F184" s="4">
        <v>6.374173803E9</v>
      </c>
      <c r="G184" s="3" t="s">
        <v>50</v>
      </c>
      <c r="H184" s="3" t="s">
        <v>112</v>
      </c>
      <c r="I184" s="3" t="s">
        <v>508</v>
      </c>
      <c r="J184" s="3" t="s">
        <v>47</v>
      </c>
    </row>
    <row r="185">
      <c r="A185" s="4">
        <v>90258.0</v>
      </c>
      <c r="B185" s="3" t="s">
        <v>1196</v>
      </c>
      <c r="C185" s="5">
        <v>46153.589780092596</v>
      </c>
      <c r="D185" s="3" t="s">
        <v>727</v>
      </c>
      <c r="E185" s="3" t="s">
        <v>1197</v>
      </c>
      <c r="F185" s="4">
        <v>9.039424997E9</v>
      </c>
      <c r="G185" s="3" t="s">
        <v>50</v>
      </c>
      <c r="H185" s="3" t="s">
        <v>157</v>
      </c>
      <c r="I185" s="3" t="s">
        <v>156</v>
      </c>
      <c r="J185" s="3" t="s">
        <v>47</v>
      </c>
    </row>
    <row r="186">
      <c r="A186" s="4">
        <v>90259.0</v>
      </c>
      <c r="B186" s="3" t="s">
        <v>1198</v>
      </c>
      <c r="C186" s="5">
        <v>46153.606099537035</v>
      </c>
      <c r="D186" s="3" t="s">
        <v>724</v>
      </c>
      <c r="E186" s="3" t="s">
        <v>1199</v>
      </c>
      <c r="F186" s="4">
        <v>9.220172675E9</v>
      </c>
      <c r="G186" s="3" t="s">
        <v>1200</v>
      </c>
      <c r="H186" s="3" t="s">
        <v>1201</v>
      </c>
      <c r="I186" s="3" t="s">
        <v>1202</v>
      </c>
      <c r="J186" s="3" t="s">
        <v>47</v>
      </c>
    </row>
    <row r="187">
      <c r="A187" s="4">
        <v>90263.0</v>
      </c>
      <c r="B187" s="3" t="s">
        <v>1203</v>
      </c>
      <c r="C187" s="5">
        <v>46153.885300925926</v>
      </c>
      <c r="D187" s="3" t="s">
        <v>724</v>
      </c>
      <c r="E187" s="3" t="s">
        <v>1204</v>
      </c>
      <c r="F187" s="3" t="s">
        <v>1205</v>
      </c>
      <c r="G187" s="3" t="s">
        <v>50</v>
      </c>
      <c r="H187" s="3" t="s">
        <v>140</v>
      </c>
      <c r="I187" s="3" t="s">
        <v>140</v>
      </c>
      <c r="J187" s="3" t="s">
        <v>47</v>
      </c>
    </row>
    <row r="188">
      <c r="A188" s="4">
        <v>90264.0</v>
      </c>
      <c r="B188" s="3" t="s">
        <v>1206</v>
      </c>
      <c r="C188" s="5">
        <v>46153.91106481481</v>
      </c>
      <c r="D188" s="3" t="s">
        <v>724</v>
      </c>
      <c r="E188" s="3" t="s">
        <v>1207</v>
      </c>
      <c r="F188" s="3" t="s">
        <v>1208</v>
      </c>
      <c r="G188" s="3" t="s">
        <v>50</v>
      </c>
      <c r="H188" s="3" t="s">
        <v>140</v>
      </c>
      <c r="I188" s="3" t="s">
        <v>140</v>
      </c>
      <c r="J188" s="3" t="s">
        <v>47</v>
      </c>
    </row>
    <row r="189">
      <c r="A189" s="4">
        <v>90265.0</v>
      </c>
      <c r="B189" s="3" t="s">
        <v>1209</v>
      </c>
      <c r="C189" s="5">
        <v>46153.96204861111</v>
      </c>
      <c r="D189" s="3" t="s">
        <v>724</v>
      </c>
      <c r="E189" s="12"/>
      <c r="F189" s="12"/>
      <c r="G189" s="3" t="s">
        <v>1210</v>
      </c>
      <c r="H189" s="3" t="s">
        <v>1008</v>
      </c>
      <c r="I189" s="3" t="s">
        <v>1211</v>
      </c>
      <c r="J189" s="3" t="s">
        <v>47</v>
      </c>
    </row>
    <row r="190">
      <c r="A190" s="4">
        <v>90266.0</v>
      </c>
      <c r="B190" s="3" t="s">
        <v>1212</v>
      </c>
      <c r="C190" s="5">
        <v>46153.97356481481</v>
      </c>
      <c r="D190" s="3" t="s">
        <v>727</v>
      </c>
      <c r="E190" s="3" t="s">
        <v>1213</v>
      </c>
      <c r="F190" s="4">
        <v>8.760728791E9</v>
      </c>
      <c r="G190" s="3" t="s">
        <v>50</v>
      </c>
      <c r="H190" s="3" t="s">
        <v>112</v>
      </c>
      <c r="I190" s="3" t="s">
        <v>278</v>
      </c>
      <c r="J190" s="3" t="s">
        <v>47</v>
      </c>
    </row>
    <row r="191">
      <c r="A191" s="4">
        <v>90267.0</v>
      </c>
      <c r="B191" s="3" t="s">
        <v>1214</v>
      </c>
      <c r="C191" s="5">
        <v>46154.192824074074</v>
      </c>
      <c r="D191" s="3" t="s">
        <v>727</v>
      </c>
      <c r="E191" s="3" t="s">
        <v>1215</v>
      </c>
      <c r="F191" s="4">
        <v>6.289704985E9</v>
      </c>
      <c r="G191" s="3" t="s">
        <v>50</v>
      </c>
      <c r="H191" s="3" t="s">
        <v>188</v>
      </c>
      <c r="I191" s="3" t="s">
        <v>1216</v>
      </c>
      <c r="J191" s="3" t="s">
        <v>47</v>
      </c>
    </row>
    <row r="192">
      <c r="A192" s="4">
        <v>90268.0</v>
      </c>
      <c r="B192" s="3" t="s">
        <v>1217</v>
      </c>
      <c r="C192" s="5">
        <v>46154.31560185185</v>
      </c>
      <c r="D192" s="3" t="s">
        <v>724</v>
      </c>
      <c r="E192" s="3" t="s">
        <v>1218</v>
      </c>
      <c r="F192" s="4">
        <v>9.790024981E9</v>
      </c>
      <c r="G192" s="3" t="s">
        <v>50</v>
      </c>
      <c r="H192" s="3" t="s">
        <v>112</v>
      </c>
      <c r="I192" s="3" t="s">
        <v>508</v>
      </c>
      <c r="J192" s="3" t="s">
        <v>47</v>
      </c>
    </row>
    <row r="193">
      <c r="A193" s="4">
        <v>90269.0</v>
      </c>
      <c r="B193" s="3" t="s">
        <v>1219</v>
      </c>
      <c r="C193" s="5">
        <v>46154.44112268519</v>
      </c>
      <c r="D193" s="3" t="s">
        <v>727</v>
      </c>
      <c r="E193" s="12"/>
      <c r="F193" s="12"/>
      <c r="G193" s="3" t="s">
        <v>50</v>
      </c>
      <c r="H193" s="3" t="s">
        <v>150</v>
      </c>
      <c r="I193" s="3" t="s">
        <v>1220</v>
      </c>
      <c r="J193" s="3" t="s">
        <v>47</v>
      </c>
    </row>
    <row r="194">
      <c r="A194" s="4">
        <v>90270.0</v>
      </c>
      <c r="B194" s="3" t="s">
        <v>1221</v>
      </c>
      <c r="C194" s="5">
        <v>46154.51540509259</v>
      </c>
      <c r="D194" s="3" t="s">
        <v>724</v>
      </c>
      <c r="E194" s="3" t="s">
        <v>1222</v>
      </c>
      <c r="F194" s="4">
        <v>9.398976389E9</v>
      </c>
      <c r="G194" s="3" t="s">
        <v>50</v>
      </c>
      <c r="H194" s="3" t="s">
        <v>100</v>
      </c>
      <c r="I194" s="3" t="s">
        <v>99</v>
      </c>
      <c r="J194" s="3" t="s">
        <v>47</v>
      </c>
    </row>
    <row r="195">
      <c r="A195" s="4">
        <v>90271.0</v>
      </c>
      <c r="B195" s="3" t="s">
        <v>833</v>
      </c>
      <c r="C195" s="5">
        <v>46154.52976851852</v>
      </c>
      <c r="D195" s="3" t="s">
        <v>727</v>
      </c>
      <c r="E195" s="3" t="s">
        <v>1223</v>
      </c>
      <c r="F195" s="4">
        <v>9.930043212E9</v>
      </c>
      <c r="G195" s="3" t="s">
        <v>50</v>
      </c>
      <c r="H195" s="3" t="s">
        <v>64</v>
      </c>
      <c r="I195" s="3" t="s">
        <v>84</v>
      </c>
      <c r="J195" s="3" t="s">
        <v>47</v>
      </c>
    </row>
    <row r="196">
      <c r="A196" s="4">
        <v>90272.0</v>
      </c>
      <c r="B196" s="3" t="s">
        <v>1224</v>
      </c>
      <c r="C196" s="5">
        <v>46154.57640046296</v>
      </c>
      <c r="D196" s="3" t="s">
        <v>727</v>
      </c>
      <c r="E196" s="3" t="s">
        <v>1225</v>
      </c>
      <c r="F196" s="19">
        <v>4.9177E12</v>
      </c>
      <c r="G196" s="3" t="s">
        <v>405</v>
      </c>
      <c r="H196" s="3" t="s">
        <v>1226</v>
      </c>
      <c r="I196" s="3" t="s">
        <v>1227</v>
      </c>
      <c r="J196" s="3" t="s">
        <v>47</v>
      </c>
    </row>
    <row r="197">
      <c r="A197" s="4">
        <v>90273.0</v>
      </c>
      <c r="B197" s="3" t="s">
        <v>1228</v>
      </c>
      <c r="C197" s="5">
        <v>46154.592997685184</v>
      </c>
      <c r="D197" s="3" t="s">
        <v>724</v>
      </c>
      <c r="E197" s="3" t="s">
        <v>1229</v>
      </c>
      <c r="F197" s="4">
        <v>1.23456789E9</v>
      </c>
      <c r="G197" s="3" t="s">
        <v>50</v>
      </c>
      <c r="H197" s="3" t="s">
        <v>750</v>
      </c>
      <c r="I197" s="3" t="s">
        <v>1230</v>
      </c>
      <c r="J197" s="3" t="s">
        <v>47</v>
      </c>
    </row>
    <row r="198">
      <c r="A198" s="4">
        <v>90274.0</v>
      </c>
      <c r="B198" s="3" t="s">
        <v>1231</v>
      </c>
      <c r="C198" s="5">
        <v>46154.599490740744</v>
      </c>
      <c r="D198" s="3" t="s">
        <v>727</v>
      </c>
      <c r="E198" s="3" t="s">
        <v>1232</v>
      </c>
      <c r="F198" s="19">
        <v>9.1876E11</v>
      </c>
      <c r="G198" s="3" t="s">
        <v>1233</v>
      </c>
      <c r="H198" s="3" t="s">
        <v>1234</v>
      </c>
      <c r="I198" s="3" t="s">
        <v>1235</v>
      </c>
      <c r="J198" s="3" t="s">
        <v>47</v>
      </c>
    </row>
    <row r="199">
      <c r="A199" s="4">
        <v>90275.0</v>
      </c>
      <c r="B199" s="3" t="s">
        <v>1236</v>
      </c>
      <c r="C199" s="5">
        <v>46154.62783564815</v>
      </c>
      <c r="D199" s="3" t="s">
        <v>724</v>
      </c>
      <c r="E199" s="3" t="s">
        <v>1237</v>
      </c>
      <c r="F199" s="12" t="str">
        <f>+91 92584 40775</f>
        <v>#ERROR!</v>
      </c>
      <c r="G199" s="3" t="s">
        <v>50</v>
      </c>
      <c r="H199" s="3" t="s">
        <v>54</v>
      </c>
      <c r="I199" s="3" t="s">
        <v>844</v>
      </c>
      <c r="J199" s="3" t="s">
        <v>47</v>
      </c>
    </row>
    <row r="200">
      <c r="A200" s="4">
        <v>90276.0</v>
      </c>
      <c r="B200" s="3" t="s">
        <v>1238</v>
      </c>
      <c r="C200" s="5">
        <v>46154.66711805556</v>
      </c>
      <c r="D200" s="3" t="s">
        <v>724</v>
      </c>
      <c r="E200" s="3" t="s">
        <v>1239</v>
      </c>
      <c r="F200" s="4">
        <v>9.819846326E9</v>
      </c>
      <c r="G200" s="3" t="s">
        <v>50</v>
      </c>
      <c r="H200" s="3" t="s">
        <v>64</v>
      </c>
      <c r="I200" s="3" t="s">
        <v>784</v>
      </c>
      <c r="J200" s="3" t="s">
        <v>47</v>
      </c>
    </row>
    <row r="201">
      <c r="A201" s="4">
        <v>90277.0</v>
      </c>
      <c r="B201" s="3" t="s">
        <v>1240</v>
      </c>
      <c r="C201" s="5">
        <v>46154.74103009259</v>
      </c>
      <c r="D201" s="3" t="s">
        <v>724</v>
      </c>
      <c r="E201" s="3" t="s">
        <v>1241</v>
      </c>
      <c r="F201" s="4">
        <v>8.130393434E9</v>
      </c>
      <c r="G201" s="3" t="s">
        <v>50</v>
      </c>
      <c r="H201" s="3" t="s">
        <v>628</v>
      </c>
      <c r="I201" s="3" t="s">
        <v>628</v>
      </c>
      <c r="J201" s="3" t="s">
        <v>47</v>
      </c>
    </row>
    <row r="202">
      <c r="A202" s="4">
        <v>90278.0</v>
      </c>
      <c r="B202" s="3" t="s">
        <v>1242</v>
      </c>
      <c r="C202" s="5">
        <v>46154.742060185185</v>
      </c>
      <c r="D202" s="3" t="s">
        <v>727</v>
      </c>
      <c r="E202" s="3" t="s">
        <v>1243</v>
      </c>
      <c r="F202" s="4">
        <v>9.7314071E9</v>
      </c>
      <c r="G202" s="3" t="s">
        <v>50</v>
      </c>
      <c r="H202" s="3" t="s">
        <v>162</v>
      </c>
      <c r="I202" s="3" t="s">
        <v>161</v>
      </c>
      <c r="J202" s="3" t="s">
        <v>47</v>
      </c>
    </row>
    <row r="203">
      <c r="A203" s="4">
        <v>90279.0</v>
      </c>
      <c r="B203" s="3" t="s">
        <v>1244</v>
      </c>
      <c r="C203" s="5">
        <v>46154.74712962963</v>
      </c>
      <c r="D203" s="3" t="s">
        <v>724</v>
      </c>
      <c r="E203" s="3" t="s">
        <v>1245</v>
      </c>
      <c r="F203" s="4">
        <v>7.978473223E9</v>
      </c>
      <c r="G203" s="3" t="s">
        <v>50</v>
      </c>
      <c r="H203" s="3" t="s">
        <v>132</v>
      </c>
      <c r="I203" s="3" t="s">
        <v>972</v>
      </c>
      <c r="J203" s="3" t="s">
        <v>47</v>
      </c>
    </row>
    <row r="204">
      <c r="A204" s="4">
        <v>90280.0</v>
      </c>
      <c r="B204" s="3" t="s">
        <v>1246</v>
      </c>
      <c r="C204" s="5">
        <v>46154.838692129626</v>
      </c>
      <c r="D204" s="3" t="s">
        <v>727</v>
      </c>
      <c r="E204" s="3" t="s">
        <v>1247</v>
      </c>
      <c r="F204" s="4">
        <v>7.498363375E9</v>
      </c>
      <c r="G204" s="3" t="s">
        <v>50</v>
      </c>
      <c r="H204" s="3" t="s">
        <v>64</v>
      </c>
      <c r="I204" s="3" t="s">
        <v>63</v>
      </c>
      <c r="J204" s="12"/>
      <c r="K204" s="12"/>
    </row>
    <row r="205">
      <c r="A205" s="4">
        <v>90281.0</v>
      </c>
      <c r="B205" s="3" t="s">
        <v>1248</v>
      </c>
      <c r="C205" s="5">
        <v>46154.90456018518</v>
      </c>
      <c r="D205" s="3" t="s">
        <v>727</v>
      </c>
      <c r="E205" s="3" t="s">
        <v>1249</v>
      </c>
      <c r="F205" s="4">
        <v>8.660676869E9</v>
      </c>
      <c r="G205" s="3" t="s">
        <v>50</v>
      </c>
      <c r="H205" s="3" t="s">
        <v>162</v>
      </c>
      <c r="I205" s="3" t="s">
        <v>1250</v>
      </c>
      <c r="J205" s="3" t="s">
        <v>47</v>
      </c>
    </row>
    <row r="206">
      <c r="A206" s="4">
        <v>90290.0</v>
      </c>
      <c r="B206" s="3" t="s">
        <v>1251</v>
      </c>
      <c r="C206" s="5">
        <v>46154.97068287037</v>
      </c>
      <c r="D206" s="3" t="s">
        <v>724</v>
      </c>
      <c r="E206" s="3" t="s">
        <v>1252</v>
      </c>
      <c r="F206" s="4">
        <v>9.255000039E9</v>
      </c>
      <c r="G206" s="3" t="s">
        <v>50</v>
      </c>
      <c r="H206" s="3" t="s">
        <v>54</v>
      </c>
      <c r="I206" s="3" t="s">
        <v>383</v>
      </c>
      <c r="J206" s="3" t="s">
        <v>47</v>
      </c>
    </row>
    <row r="207">
      <c r="A207" s="4">
        <v>90291.0</v>
      </c>
      <c r="B207" s="3" t="s">
        <v>1253</v>
      </c>
      <c r="C207" s="5">
        <v>46154.99018518518</v>
      </c>
      <c r="D207" s="3" t="s">
        <v>724</v>
      </c>
      <c r="E207" s="3" t="s">
        <v>1254</v>
      </c>
      <c r="F207" s="4">
        <v>7.498928516E9</v>
      </c>
      <c r="G207" s="3" t="s">
        <v>50</v>
      </c>
      <c r="H207" s="3" t="s">
        <v>64</v>
      </c>
      <c r="I207" s="3" t="s">
        <v>1255</v>
      </c>
      <c r="J207" s="3" t="s">
        <v>47</v>
      </c>
    </row>
    <row r="208">
      <c r="A208" s="4">
        <v>90292.0</v>
      </c>
      <c r="B208" s="3" t="s">
        <v>1256</v>
      </c>
      <c r="C208" s="5">
        <v>46155.079872685186</v>
      </c>
      <c r="D208" s="3" t="s">
        <v>727</v>
      </c>
      <c r="E208" s="3" t="s">
        <v>1257</v>
      </c>
      <c r="F208" s="4">
        <v>9.082354907E9</v>
      </c>
      <c r="G208" s="3" t="s">
        <v>50</v>
      </c>
      <c r="H208" s="3" t="s">
        <v>64</v>
      </c>
      <c r="I208" s="3" t="s">
        <v>784</v>
      </c>
      <c r="J208" s="3" t="s">
        <v>47</v>
      </c>
    </row>
    <row r="209">
      <c r="A209" s="4">
        <v>90293.0</v>
      </c>
      <c r="B209" s="3" t="s">
        <v>1258</v>
      </c>
      <c r="C209" s="5">
        <v>46155.15148148148</v>
      </c>
      <c r="D209" s="3" t="s">
        <v>727</v>
      </c>
      <c r="E209" s="3" t="s">
        <v>1259</v>
      </c>
      <c r="F209" s="4">
        <v>7.999411616E9</v>
      </c>
      <c r="G209" s="3" t="s">
        <v>50</v>
      </c>
      <c r="H209" s="3" t="s">
        <v>217</v>
      </c>
      <c r="I209" s="3" t="s">
        <v>216</v>
      </c>
      <c r="J209" s="3" t="s">
        <v>47</v>
      </c>
    </row>
    <row r="210">
      <c r="A210" s="4">
        <v>90294.0</v>
      </c>
      <c r="B210" s="3" t="s">
        <v>1260</v>
      </c>
      <c r="C210" s="5">
        <v>46155.356412037036</v>
      </c>
      <c r="D210" s="3" t="s">
        <v>727</v>
      </c>
      <c r="E210" s="3" t="s">
        <v>1261</v>
      </c>
      <c r="F210" s="4">
        <v>4.312774944E9</v>
      </c>
      <c r="G210" s="3" t="s">
        <v>754</v>
      </c>
      <c r="H210" s="3" t="s">
        <v>1262</v>
      </c>
      <c r="I210" s="3" t="s">
        <v>1263</v>
      </c>
      <c r="J210" s="3" t="s">
        <v>47</v>
      </c>
    </row>
    <row r="211">
      <c r="A211" s="4">
        <v>90295.0</v>
      </c>
      <c r="B211" s="12"/>
      <c r="C211" s="5">
        <v>46155.4549537037</v>
      </c>
      <c r="E211" s="3" t="s">
        <v>1264</v>
      </c>
      <c r="G211" s="12"/>
      <c r="H211" s="12"/>
      <c r="I211" s="12"/>
      <c r="J211" s="12"/>
      <c r="K211" s="12"/>
    </row>
    <row r="212">
      <c r="A212" s="4">
        <v>90296.0</v>
      </c>
      <c r="B212" s="3" t="s">
        <v>1265</v>
      </c>
      <c r="C212" s="5">
        <v>46155.54288194444</v>
      </c>
      <c r="D212" s="3" t="s">
        <v>724</v>
      </c>
      <c r="E212" s="3" t="s">
        <v>1266</v>
      </c>
      <c r="F212" s="4">
        <v>9.024349936E9</v>
      </c>
      <c r="G212" s="3" t="s">
        <v>50</v>
      </c>
      <c r="H212" s="3" t="s">
        <v>292</v>
      </c>
      <c r="I212" s="3" t="s">
        <v>1267</v>
      </c>
      <c r="J212" s="3" t="s">
        <v>47</v>
      </c>
    </row>
    <row r="213">
      <c r="A213" s="4">
        <v>90297.0</v>
      </c>
      <c r="B213" s="3" t="s">
        <v>1268</v>
      </c>
      <c r="C213" s="5">
        <v>46155.58351851852</v>
      </c>
      <c r="D213" s="3" t="s">
        <v>727</v>
      </c>
      <c r="E213" s="3" t="s">
        <v>1269</v>
      </c>
      <c r="F213" s="4">
        <v>6.374306396E9</v>
      </c>
      <c r="G213" s="3" t="s">
        <v>50</v>
      </c>
      <c r="H213" s="3" t="s">
        <v>112</v>
      </c>
      <c r="I213" s="3" t="s">
        <v>1270</v>
      </c>
      <c r="J213" s="3" t="s">
        <v>47</v>
      </c>
    </row>
    <row r="214">
      <c r="A214" s="4">
        <v>90298.0</v>
      </c>
      <c r="B214" s="3" t="s">
        <v>1271</v>
      </c>
      <c r="C214" s="5">
        <v>46155.636979166666</v>
      </c>
      <c r="D214" s="3" t="s">
        <v>727</v>
      </c>
      <c r="E214" s="3" t="s">
        <v>1272</v>
      </c>
      <c r="F214" s="4">
        <v>7.588490118E9</v>
      </c>
      <c r="G214" s="3" t="s">
        <v>50</v>
      </c>
      <c r="H214" s="3" t="s">
        <v>64</v>
      </c>
      <c r="I214" s="3" t="s">
        <v>1273</v>
      </c>
      <c r="J214" s="3" t="s">
        <v>47</v>
      </c>
    </row>
    <row r="215">
      <c r="A215" s="4">
        <v>90299.0</v>
      </c>
      <c r="B215" s="3" t="s">
        <v>1274</v>
      </c>
      <c r="C215" s="5">
        <v>46155.657476851855</v>
      </c>
      <c r="E215" s="3" t="s">
        <v>1275</v>
      </c>
      <c r="F215" s="4">
        <v>9.444957226E9</v>
      </c>
      <c r="G215" s="12"/>
      <c r="H215" s="12"/>
      <c r="I215" s="12"/>
      <c r="J215" s="3" t="s">
        <v>1276</v>
      </c>
    </row>
    <row r="216">
      <c r="A216" s="4">
        <v>90300.0</v>
      </c>
      <c r="B216" s="3" t="s">
        <v>1277</v>
      </c>
      <c r="C216" s="5">
        <v>46155.68662037037</v>
      </c>
      <c r="D216" s="3" t="s">
        <v>724</v>
      </c>
      <c r="E216" s="3" t="s">
        <v>1278</v>
      </c>
      <c r="F216" s="4">
        <v>7.338696389E9</v>
      </c>
      <c r="G216" s="3" t="s">
        <v>50</v>
      </c>
      <c r="H216" s="3" t="s">
        <v>162</v>
      </c>
      <c r="I216" s="3" t="s">
        <v>161</v>
      </c>
      <c r="J216" s="3" t="s">
        <v>461</v>
      </c>
    </row>
    <row r="217">
      <c r="A217" s="4">
        <v>90301.0</v>
      </c>
      <c r="B217" s="3" t="s">
        <v>1279</v>
      </c>
      <c r="C217" s="5">
        <v>46155.71931712963</v>
      </c>
      <c r="D217" s="3" t="s">
        <v>727</v>
      </c>
      <c r="E217" s="3" t="s">
        <v>1280</v>
      </c>
      <c r="F217" s="4">
        <v>9.007925961E9</v>
      </c>
      <c r="G217" s="3" t="s">
        <v>50</v>
      </c>
      <c r="H217" s="3" t="s">
        <v>175</v>
      </c>
      <c r="I217" s="3" t="s">
        <v>174</v>
      </c>
      <c r="J217" s="3" t="s">
        <v>47</v>
      </c>
    </row>
    <row r="218">
      <c r="A218" s="4">
        <v>90302.0</v>
      </c>
      <c r="B218" s="3" t="s">
        <v>1281</v>
      </c>
      <c r="C218" s="5">
        <v>46155.73863425926</v>
      </c>
      <c r="D218" s="3" t="s">
        <v>724</v>
      </c>
      <c r="E218" s="3" t="s">
        <v>1282</v>
      </c>
      <c r="F218" s="4">
        <v>7.305721391E9</v>
      </c>
      <c r="G218" s="3" t="s">
        <v>50</v>
      </c>
      <c r="H218" s="3" t="s">
        <v>112</v>
      </c>
      <c r="I218" s="3" t="s">
        <v>508</v>
      </c>
      <c r="J218" s="3" t="s">
        <v>47</v>
      </c>
    </row>
    <row r="219">
      <c r="A219" s="4">
        <v>90303.0</v>
      </c>
      <c r="B219" s="3" t="s">
        <v>1283</v>
      </c>
      <c r="C219" s="5">
        <v>46155.771261574075</v>
      </c>
      <c r="D219" s="3" t="s">
        <v>727</v>
      </c>
      <c r="E219" s="3" t="s">
        <v>1284</v>
      </c>
      <c r="F219" s="19">
        <v>1.61E10</v>
      </c>
      <c r="G219" s="3" t="s">
        <v>612</v>
      </c>
      <c r="H219" s="3" t="s">
        <v>1285</v>
      </c>
      <c r="I219" s="3" t="s">
        <v>1286</v>
      </c>
      <c r="J219" s="3" t="s">
        <v>47</v>
      </c>
    </row>
    <row r="220">
      <c r="A220" s="4">
        <v>90304.0</v>
      </c>
      <c r="B220" s="3" t="s">
        <v>1287</v>
      </c>
      <c r="C220" s="5">
        <v>46155.81321759259</v>
      </c>
      <c r="D220" s="3" t="s">
        <v>724</v>
      </c>
      <c r="E220" s="3" t="s">
        <v>1288</v>
      </c>
      <c r="F220" s="4">
        <v>9.820169212E9</v>
      </c>
      <c r="G220" s="3" t="s">
        <v>50</v>
      </c>
      <c r="H220" s="3" t="s">
        <v>64</v>
      </c>
      <c r="I220" s="3" t="s">
        <v>84</v>
      </c>
      <c r="J220" s="3" t="s">
        <v>47</v>
      </c>
    </row>
    <row r="221">
      <c r="A221" s="4">
        <v>90305.0</v>
      </c>
      <c r="B221" s="3" t="s">
        <v>1289</v>
      </c>
      <c r="C221" s="5">
        <v>46155.82042824074</v>
      </c>
      <c r="D221" s="3" t="s">
        <v>724</v>
      </c>
      <c r="E221" s="3" t="s">
        <v>1290</v>
      </c>
      <c r="F221" s="4">
        <v>8.888772247E9</v>
      </c>
      <c r="G221" s="3" t="s">
        <v>50</v>
      </c>
      <c r="H221" s="3" t="s">
        <v>64</v>
      </c>
      <c r="I221" s="3" t="s">
        <v>94</v>
      </c>
      <c r="J221" s="3" t="s">
        <v>47</v>
      </c>
    </row>
    <row r="222">
      <c r="A222" s="4">
        <v>90306.0</v>
      </c>
      <c r="B222" s="3" t="s">
        <v>1291</v>
      </c>
      <c r="C222" s="5">
        <v>46155.83525462963</v>
      </c>
      <c r="D222" s="3" t="s">
        <v>724</v>
      </c>
      <c r="E222" s="3" t="s">
        <v>1292</v>
      </c>
      <c r="F222" s="4">
        <v>8.252287426E9</v>
      </c>
      <c r="G222" s="3" t="s">
        <v>50</v>
      </c>
      <c r="H222" s="3" t="s">
        <v>162</v>
      </c>
      <c r="I222" s="3" t="s">
        <v>161</v>
      </c>
      <c r="J222" s="3" t="s">
        <v>47</v>
      </c>
    </row>
    <row r="223">
      <c r="A223" s="4">
        <v>90307.0</v>
      </c>
      <c r="B223" s="3" t="s">
        <v>1293</v>
      </c>
      <c r="C223" s="5">
        <v>46155.85685185185</v>
      </c>
      <c r="D223" s="3" t="s">
        <v>724</v>
      </c>
      <c r="E223" s="3" t="s">
        <v>1294</v>
      </c>
      <c r="F223" s="4">
        <v>8.148444038E9</v>
      </c>
      <c r="G223" s="3" t="s">
        <v>50</v>
      </c>
      <c r="H223" s="3" t="s">
        <v>112</v>
      </c>
      <c r="I223" s="3" t="s">
        <v>508</v>
      </c>
      <c r="J223" s="3" t="s">
        <v>47</v>
      </c>
    </row>
    <row r="224">
      <c r="A224" s="4">
        <v>90308.0</v>
      </c>
      <c r="B224" s="3" t="s">
        <v>1295</v>
      </c>
      <c r="C224" s="5">
        <v>46155.91936342593</v>
      </c>
      <c r="D224" s="3" t="s">
        <v>727</v>
      </c>
      <c r="E224" s="3" t="s">
        <v>1296</v>
      </c>
      <c r="F224" s="4">
        <v>9.858733532E9</v>
      </c>
      <c r="G224" s="3" t="s">
        <v>50</v>
      </c>
      <c r="H224" s="3" t="s">
        <v>366</v>
      </c>
      <c r="I224" s="3" t="s">
        <v>1297</v>
      </c>
      <c r="J224" s="3" t="s">
        <v>47</v>
      </c>
    </row>
    <row r="225">
      <c r="A225" s="4">
        <v>90309.0</v>
      </c>
      <c r="B225" s="3" t="s">
        <v>1298</v>
      </c>
      <c r="C225" s="5">
        <v>46155.95244212963</v>
      </c>
      <c r="D225" s="3" t="s">
        <v>727</v>
      </c>
      <c r="E225" s="3" t="s">
        <v>1299</v>
      </c>
      <c r="F225" s="4">
        <v>9.60027767E9</v>
      </c>
      <c r="G225" s="3" t="s">
        <v>50</v>
      </c>
      <c r="H225" s="3" t="s">
        <v>112</v>
      </c>
      <c r="I225" s="3" t="s">
        <v>508</v>
      </c>
      <c r="J225" s="3" t="s">
        <v>47</v>
      </c>
    </row>
    <row r="226">
      <c r="A226" s="4">
        <v>90310.0</v>
      </c>
      <c r="B226" s="3" t="s">
        <v>1300</v>
      </c>
      <c r="C226" s="5">
        <v>46156.029502314814</v>
      </c>
      <c r="D226" s="3" t="s">
        <v>727</v>
      </c>
      <c r="E226" s="3" t="s">
        <v>1301</v>
      </c>
      <c r="F226" s="4">
        <v>7.807007041E9</v>
      </c>
      <c r="G226" s="3" t="s">
        <v>50</v>
      </c>
      <c r="H226" s="3" t="s">
        <v>596</v>
      </c>
      <c r="I226" s="3" t="s">
        <v>595</v>
      </c>
      <c r="J226" s="3" t="s">
        <v>502</v>
      </c>
    </row>
    <row r="227">
      <c r="A227" s="4">
        <v>90311.0</v>
      </c>
      <c r="B227" s="3" t="s">
        <v>1302</v>
      </c>
      <c r="C227" s="5">
        <v>46156.043958333335</v>
      </c>
      <c r="D227" s="3" t="s">
        <v>724</v>
      </c>
      <c r="E227" s="3" t="s">
        <v>1303</v>
      </c>
      <c r="F227" s="19">
        <v>9.1776E11</v>
      </c>
      <c r="G227" s="3" t="s">
        <v>612</v>
      </c>
      <c r="H227" s="3" t="s">
        <v>1304</v>
      </c>
      <c r="I227" s="3" t="s">
        <v>1305</v>
      </c>
      <c r="J227" s="3" t="s">
        <v>47</v>
      </c>
    </row>
    <row r="228">
      <c r="A228" s="4">
        <v>90312.0</v>
      </c>
      <c r="B228" s="3" t="s">
        <v>1306</v>
      </c>
      <c r="C228" s="5">
        <v>46156.1059375</v>
      </c>
      <c r="D228" s="3" t="s">
        <v>727</v>
      </c>
      <c r="E228" s="3" t="s">
        <v>1307</v>
      </c>
      <c r="F228" s="4">
        <v>9.179844949E9</v>
      </c>
      <c r="G228" s="3" t="s">
        <v>50</v>
      </c>
      <c r="H228" s="3" t="s">
        <v>217</v>
      </c>
      <c r="I228" s="3" t="s">
        <v>216</v>
      </c>
      <c r="J228" s="3" t="s">
        <v>47</v>
      </c>
    </row>
    <row r="229">
      <c r="A229" s="4">
        <v>90313.0</v>
      </c>
      <c r="B229" s="3" t="s">
        <v>1308</v>
      </c>
      <c r="C229" s="5">
        <v>46156.23908564815</v>
      </c>
      <c r="D229" s="3" t="s">
        <v>724</v>
      </c>
      <c r="E229" s="3" t="s">
        <v>1309</v>
      </c>
      <c r="F229" s="4">
        <v>9.311549662E9</v>
      </c>
      <c r="G229" s="3" t="s">
        <v>50</v>
      </c>
      <c r="H229" s="3" t="s">
        <v>54</v>
      </c>
      <c r="I229" s="3" t="s">
        <v>145</v>
      </c>
      <c r="J229" s="3" t="s">
        <v>47</v>
      </c>
    </row>
    <row r="230">
      <c r="A230" s="4">
        <v>90314.0</v>
      </c>
      <c r="B230" s="3" t="s">
        <v>1310</v>
      </c>
      <c r="C230" s="5">
        <v>46156.436261574076</v>
      </c>
      <c r="D230" s="3" t="s">
        <v>724</v>
      </c>
      <c r="E230" s="3" t="s">
        <v>1311</v>
      </c>
      <c r="F230" s="4">
        <v>8.817786153E9</v>
      </c>
      <c r="G230" s="3" t="s">
        <v>50</v>
      </c>
      <c r="H230" s="3" t="s">
        <v>157</v>
      </c>
      <c r="I230" s="3" t="s">
        <v>418</v>
      </c>
      <c r="J230" s="3" t="s">
        <v>47</v>
      </c>
    </row>
    <row r="231">
      <c r="A231" s="4">
        <v>90315.0</v>
      </c>
      <c r="B231" s="3" t="s">
        <v>1312</v>
      </c>
      <c r="C231" s="5">
        <v>46156.472025462965</v>
      </c>
      <c r="D231" s="3" t="s">
        <v>724</v>
      </c>
      <c r="E231" s="3" t="s">
        <v>1313</v>
      </c>
      <c r="F231" s="4">
        <v>9.001326536E9</v>
      </c>
      <c r="G231" s="3" t="s">
        <v>50</v>
      </c>
      <c r="H231" s="3" t="s">
        <v>292</v>
      </c>
      <c r="I231" s="3" t="s">
        <v>1314</v>
      </c>
      <c r="J231" s="3" t="s">
        <v>47</v>
      </c>
    </row>
    <row r="232">
      <c r="A232" s="4">
        <v>90316.0</v>
      </c>
      <c r="B232" s="3" t="s">
        <v>1315</v>
      </c>
      <c r="C232" s="5">
        <v>46156.49747685185</v>
      </c>
      <c r="D232" s="3" t="s">
        <v>727</v>
      </c>
      <c r="E232" s="3" t="s">
        <v>1316</v>
      </c>
      <c r="F232" s="4">
        <v>7.899396101E9</v>
      </c>
      <c r="G232" s="3" t="s">
        <v>50</v>
      </c>
      <c r="H232" s="3" t="s">
        <v>162</v>
      </c>
      <c r="I232" s="3" t="s">
        <v>161</v>
      </c>
      <c r="J232" s="3" t="s">
        <v>47</v>
      </c>
    </row>
    <row r="233">
      <c r="A233" s="4">
        <v>90317.0</v>
      </c>
      <c r="B233" s="3" t="s">
        <v>1317</v>
      </c>
      <c r="C233" s="5">
        <v>46156.500601851854</v>
      </c>
      <c r="D233" s="3" t="s">
        <v>727</v>
      </c>
      <c r="E233" s="3" t="s">
        <v>1318</v>
      </c>
      <c r="F233" s="4">
        <v>7.015738985E9</v>
      </c>
      <c r="G233" s="3" t="s">
        <v>50</v>
      </c>
      <c r="H233" s="3" t="s">
        <v>54</v>
      </c>
      <c r="I233" s="3" t="s">
        <v>383</v>
      </c>
      <c r="J233" s="3" t="s">
        <v>47</v>
      </c>
    </row>
    <row r="234">
      <c r="A234" s="4">
        <v>90318.0</v>
      </c>
      <c r="B234" s="3" t="s">
        <v>1319</v>
      </c>
      <c r="C234" s="5">
        <v>46156.53146990741</v>
      </c>
      <c r="D234" s="3" t="s">
        <v>724</v>
      </c>
      <c r="E234" s="3" t="s">
        <v>1320</v>
      </c>
      <c r="F234" s="4">
        <v>8.787842421E9</v>
      </c>
      <c r="G234" s="3" t="s">
        <v>50</v>
      </c>
      <c r="H234" s="3" t="s">
        <v>529</v>
      </c>
      <c r="I234" s="3" t="s">
        <v>1321</v>
      </c>
      <c r="J234" s="3" t="s">
        <v>47</v>
      </c>
    </row>
    <row r="235">
      <c r="A235" s="4">
        <v>90319.0</v>
      </c>
      <c r="B235" s="3" t="s">
        <v>1322</v>
      </c>
      <c r="C235" s="5">
        <v>46156.5441087963</v>
      </c>
      <c r="D235" s="3" t="s">
        <v>724</v>
      </c>
      <c r="E235" s="3" t="s">
        <v>1323</v>
      </c>
      <c r="F235" s="4">
        <v>9.008355058E9</v>
      </c>
      <c r="G235" s="3" t="s">
        <v>50</v>
      </c>
      <c r="H235" s="3" t="s">
        <v>112</v>
      </c>
      <c r="I235" s="3" t="s">
        <v>278</v>
      </c>
      <c r="J235" s="3" t="s">
        <v>47</v>
      </c>
    </row>
    <row r="236">
      <c r="A236" s="4">
        <v>90320.0</v>
      </c>
      <c r="B236" s="3" t="s">
        <v>1324</v>
      </c>
      <c r="C236" s="5">
        <v>46156.550833333335</v>
      </c>
      <c r="D236" s="3" t="s">
        <v>724</v>
      </c>
      <c r="E236" s="3" t="s">
        <v>1325</v>
      </c>
      <c r="F236" s="4">
        <v>8.53393241E9</v>
      </c>
      <c r="G236" s="3" t="s">
        <v>50</v>
      </c>
      <c r="H236" s="3" t="s">
        <v>54</v>
      </c>
      <c r="I236" s="3" t="s">
        <v>844</v>
      </c>
      <c r="J236" s="3" t="s">
        <v>47</v>
      </c>
    </row>
    <row r="237">
      <c r="A237" s="4">
        <v>90321.0</v>
      </c>
      <c r="B237" s="3" t="s">
        <v>1326</v>
      </c>
      <c r="C237" s="5">
        <v>46156.57925925926</v>
      </c>
      <c r="D237" s="3" t="s">
        <v>724</v>
      </c>
      <c r="E237" s="3" t="s">
        <v>1327</v>
      </c>
      <c r="F237" s="4">
        <v>9.051187792E9</v>
      </c>
      <c r="G237" s="3" t="s">
        <v>50</v>
      </c>
      <c r="H237" s="3" t="s">
        <v>175</v>
      </c>
      <c r="I237" s="3" t="s">
        <v>174</v>
      </c>
      <c r="J237" s="12"/>
      <c r="K237" s="12"/>
    </row>
    <row r="238">
      <c r="A238" s="4">
        <v>90322.0</v>
      </c>
      <c r="B238" s="3" t="s">
        <v>1328</v>
      </c>
      <c r="C238" s="5">
        <v>46156.584074074075</v>
      </c>
      <c r="D238" s="3" t="s">
        <v>724</v>
      </c>
      <c r="E238" s="3" t="s">
        <v>1329</v>
      </c>
      <c r="F238" s="4">
        <v>8.699312042E9</v>
      </c>
      <c r="G238" s="3" t="s">
        <v>50</v>
      </c>
      <c r="H238" s="3" t="s">
        <v>117</v>
      </c>
      <c r="I238" s="3" t="s">
        <v>331</v>
      </c>
      <c r="J238" s="3" t="s">
        <v>47</v>
      </c>
    </row>
    <row r="239">
      <c r="A239" s="4">
        <v>90323.0</v>
      </c>
      <c r="B239" s="3" t="s">
        <v>1330</v>
      </c>
      <c r="C239" s="5">
        <v>46156.587233796294</v>
      </c>
      <c r="D239" s="3" t="s">
        <v>727</v>
      </c>
      <c r="E239" s="3" t="s">
        <v>1331</v>
      </c>
      <c r="F239" s="4">
        <v>8.309553918E9</v>
      </c>
      <c r="G239" s="3" t="s">
        <v>50</v>
      </c>
      <c r="H239" s="3" t="s">
        <v>750</v>
      </c>
      <c r="I239" s="3" t="s">
        <v>1332</v>
      </c>
      <c r="J239" s="3" t="s">
        <v>47</v>
      </c>
    </row>
    <row r="240">
      <c r="A240" s="4">
        <v>90324.0</v>
      </c>
      <c r="B240" s="3" t="s">
        <v>1333</v>
      </c>
      <c r="C240" s="5">
        <v>46156.69090277778</v>
      </c>
      <c r="D240" s="3" t="s">
        <v>724</v>
      </c>
      <c r="E240" s="3" t="s">
        <v>1334</v>
      </c>
      <c r="F240" s="4">
        <v>8.240755099E9</v>
      </c>
      <c r="G240" s="3" t="s">
        <v>50</v>
      </c>
      <c r="H240" s="3" t="s">
        <v>175</v>
      </c>
      <c r="I240" s="3" t="s">
        <v>174</v>
      </c>
      <c r="J240" s="3" t="s">
        <v>47</v>
      </c>
    </row>
    <row r="241">
      <c r="A241" s="4">
        <v>90325.0</v>
      </c>
      <c r="B241" s="3" t="s">
        <v>1335</v>
      </c>
      <c r="C241" s="5">
        <v>46156.701053240744</v>
      </c>
      <c r="D241" s="3" t="s">
        <v>727</v>
      </c>
      <c r="E241" s="3" t="s">
        <v>1336</v>
      </c>
      <c r="F241" s="4">
        <v>7.404705024E9</v>
      </c>
      <c r="G241" s="3" t="s">
        <v>50</v>
      </c>
      <c r="H241" s="3" t="s">
        <v>117</v>
      </c>
      <c r="I241" s="3" t="s">
        <v>116</v>
      </c>
      <c r="J241" s="3" t="s">
        <v>47</v>
      </c>
    </row>
    <row r="242">
      <c r="A242" s="4">
        <v>90326.0</v>
      </c>
      <c r="B242" s="3" t="s">
        <v>1337</v>
      </c>
      <c r="C242" s="5">
        <v>46156.701261574075</v>
      </c>
      <c r="D242" s="3" t="s">
        <v>724</v>
      </c>
      <c r="E242" s="3" t="s">
        <v>1338</v>
      </c>
      <c r="F242" s="4">
        <v>7.347067986E9</v>
      </c>
      <c r="G242" s="3" t="s">
        <v>50</v>
      </c>
      <c r="H242" s="3" t="s">
        <v>49</v>
      </c>
      <c r="I242" s="3" t="s">
        <v>1339</v>
      </c>
      <c r="J242" s="3" t="s">
        <v>47</v>
      </c>
    </row>
    <row r="243">
      <c r="A243" s="4">
        <v>90327.0</v>
      </c>
      <c r="B243" s="3" t="s">
        <v>1340</v>
      </c>
      <c r="C243" s="5">
        <v>46156.71329861111</v>
      </c>
      <c r="D243" s="3" t="s">
        <v>727</v>
      </c>
      <c r="E243" s="3" t="s">
        <v>1341</v>
      </c>
      <c r="F243" s="4">
        <v>7.736866079E9</v>
      </c>
      <c r="G243" s="3" t="s">
        <v>50</v>
      </c>
      <c r="H243" s="3" t="s">
        <v>349</v>
      </c>
      <c r="I243" s="3" t="s">
        <v>1342</v>
      </c>
      <c r="J243" s="3" t="s">
        <v>47</v>
      </c>
    </row>
    <row r="244">
      <c r="A244" s="4">
        <v>90328.0</v>
      </c>
      <c r="B244" s="3" t="s">
        <v>1343</v>
      </c>
      <c r="C244" s="5">
        <v>46156.727372685185</v>
      </c>
      <c r="D244" s="3" t="s">
        <v>727</v>
      </c>
      <c r="E244" s="3" t="s">
        <v>1344</v>
      </c>
      <c r="F244" s="19">
        <v>6.1047E11</v>
      </c>
      <c r="G244" s="3" t="s">
        <v>1345</v>
      </c>
      <c r="H244" s="3" t="s">
        <v>1346</v>
      </c>
      <c r="I244" s="3" t="s">
        <v>1347</v>
      </c>
      <c r="J244" s="3" t="s">
        <v>47</v>
      </c>
    </row>
    <row r="245">
      <c r="A245" s="4">
        <v>90329.0</v>
      </c>
      <c r="B245" s="3" t="s">
        <v>1348</v>
      </c>
      <c r="C245" s="5">
        <v>46156.73185185185</v>
      </c>
      <c r="D245" s="3" t="s">
        <v>724</v>
      </c>
      <c r="E245" s="3" t="s">
        <v>1349</v>
      </c>
      <c r="F245" s="4">
        <v>8.8616473E9</v>
      </c>
      <c r="G245" s="3" t="s">
        <v>50</v>
      </c>
      <c r="H245" s="3" t="s">
        <v>162</v>
      </c>
      <c r="I245" s="3" t="s">
        <v>1350</v>
      </c>
      <c r="J245" s="3" t="s">
        <v>47</v>
      </c>
    </row>
    <row r="246">
      <c r="A246" s="4">
        <v>90330.0</v>
      </c>
      <c r="B246" s="3" t="s">
        <v>1351</v>
      </c>
      <c r="C246" s="5">
        <v>46156.7971875</v>
      </c>
      <c r="D246" s="3" t="s">
        <v>724</v>
      </c>
      <c r="E246" s="3" t="s">
        <v>1352</v>
      </c>
      <c r="F246" s="4">
        <v>6.379193928E9</v>
      </c>
      <c r="G246" s="3" t="s">
        <v>50</v>
      </c>
      <c r="H246" s="3" t="s">
        <v>112</v>
      </c>
      <c r="I246" s="3" t="s">
        <v>508</v>
      </c>
      <c r="J246" s="12"/>
      <c r="K246" s="12"/>
    </row>
    <row r="247">
      <c r="A247" s="4">
        <v>90331.0</v>
      </c>
      <c r="B247" s="3" t="s">
        <v>1353</v>
      </c>
      <c r="C247" s="5">
        <v>46156.802152777775</v>
      </c>
      <c r="D247" s="3" t="s">
        <v>724</v>
      </c>
      <c r="E247" s="3" t="s">
        <v>1354</v>
      </c>
      <c r="F247" s="4">
        <v>9.716273271E9</v>
      </c>
      <c r="G247" s="3" t="s">
        <v>273</v>
      </c>
      <c r="H247" s="3" t="s">
        <v>272</v>
      </c>
      <c r="I247" s="3" t="s">
        <v>272</v>
      </c>
      <c r="J247" s="3" t="s">
        <v>47</v>
      </c>
    </row>
    <row r="248">
      <c r="A248" s="4">
        <v>90332.0</v>
      </c>
      <c r="B248" s="3" t="s">
        <v>1355</v>
      </c>
      <c r="C248" s="5">
        <v>46156.815462962964</v>
      </c>
      <c r="D248" s="3" t="s">
        <v>727</v>
      </c>
      <c r="E248" s="3" t="s">
        <v>1356</v>
      </c>
      <c r="F248" s="12" t="str">
        <f>+91 93358-2140</f>
        <v>#ERROR!</v>
      </c>
      <c r="G248" s="3" t="s">
        <v>50</v>
      </c>
      <c r="H248" s="3" t="s">
        <v>54</v>
      </c>
      <c r="I248" s="3" t="s">
        <v>1357</v>
      </c>
      <c r="J248" s="3" t="s">
        <v>47</v>
      </c>
    </row>
    <row r="249">
      <c r="A249" s="4">
        <v>90333.0</v>
      </c>
      <c r="B249" s="3" t="s">
        <v>1358</v>
      </c>
      <c r="C249" s="5">
        <v>46156.820289351854</v>
      </c>
      <c r="D249" s="3" t="s">
        <v>727</v>
      </c>
      <c r="E249" s="3" t="s">
        <v>1359</v>
      </c>
      <c r="F249" s="4">
        <v>8.306938232E9</v>
      </c>
      <c r="G249" s="3" t="s">
        <v>50</v>
      </c>
      <c r="H249" s="3" t="s">
        <v>140</v>
      </c>
      <c r="I249" s="3" t="s">
        <v>139</v>
      </c>
      <c r="J249" s="3" t="s">
        <v>47</v>
      </c>
    </row>
    <row r="250">
      <c r="A250" s="4">
        <v>90334.0</v>
      </c>
      <c r="B250" s="3" t="s">
        <v>1360</v>
      </c>
      <c r="C250" s="5">
        <v>46156.84034722222</v>
      </c>
      <c r="D250" s="3" t="s">
        <v>727</v>
      </c>
      <c r="E250" s="3" t="s">
        <v>1361</v>
      </c>
      <c r="F250" s="4">
        <v>8.264280794E9</v>
      </c>
      <c r="G250" s="3" t="s">
        <v>50</v>
      </c>
      <c r="H250" s="3" t="s">
        <v>49</v>
      </c>
      <c r="I250" s="3" t="s">
        <v>48</v>
      </c>
      <c r="J250" s="3" t="s">
        <v>47</v>
      </c>
    </row>
    <row r="251">
      <c r="A251" s="4">
        <v>90335.0</v>
      </c>
      <c r="B251" s="3" t="s">
        <v>1362</v>
      </c>
      <c r="C251" s="5">
        <v>46156.908680555556</v>
      </c>
      <c r="D251" s="3" t="s">
        <v>727</v>
      </c>
      <c r="E251" s="3" t="s">
        <v>1363</v>
      </c>
      <c r="F251" s="12" t="str">
        <f>+91 96087 22384</f>
        <v>#ERROR!</v>
      </c>
      <c r="G251" s="3" t="s">
        <v>50</v>
      </c>
      <c r="H251" s="3" t="s">
        <v>135</v>
      </c>
      <c r="I251" s="3" t="s">
        <v>1364</v>
      </c>
      <c r="J251" s="3" t="s">
        <v>47</v>
      </c>
    </row>
    <row r="252">
      <c r="A252" s="4">
        <v>90336.0</v>
      </c>
      <c r="B252" s="3" t="s">
        <v>1365</v>
      </c>
      <c r="C252" s="5">
        <v>46156.925833333335</v>
      </c>
      <c r="D252" s="3" t="s">
        <v>724</v>
      </c>
      <c r="E252" s="3" t="s">
        <v>1366</v>
      </c>
      <c r="F252" s="4">
        <v>9.319834005E9</v>
      </c>
      <c r="G252" s="3" t="s">
        <v>50</v>
      </c>
      <c r="H252" s="3" t="s">
        <v>140</v>
      </c>
      <c r="I252" s="3" t="s">
        <v>140</v>
      </c>
      <c r="J252" s="3" t="s">
        <v>47</v>
      </c>
    </row>
    <row r="253">
      <c r="A253" s="4">
        <v>90337.0</v>
      </c>
      <c r="B253" s="3" t="s">
        <v>1367</v>
      </c>
      <c r="C253" s="5">
        <v>46156.971875</v>
      </c>
      <c r="D253" s="3" t="s">
        <v>724</v>
      </c>
      <c r="E253" s="3" t="s">
        <v>1368</v>
      </c>
      <c r="F253" s="4">
        <v>8.688593284E9</v>
      </c>
      <c r="G253" s="3" t="s">
        <v>50</v>
      </c>
      <c r="H253" s="3" t="s">
        <v>750</v>
      </c>
      <c r="I253" s="3" t="s">
        <v>1369</v>
      </c>
      <c r="J253" s="3" t="s">
        <v>47</v>
      </c>
    </row>
    <row r="254">
      <c r="A254" s="4">
        <v>90338.0</v>
      </c>
      <c r="B254" s="3" t="s">
        <v>1370</v>
      </c>
      <c r="C254" s="5">
        <v>46157.022002314814</v>
      </c>
      <c r="D254" s="3" t="s">
        <v>727</v>
      </c>
      <c r="E254" s="3" t="s">
        <v>1371</v>
      </c>
      <c r="F254" s="4">
        <v>7.69629825E9</v>
      </c>
      <c r="G254" s="3" t="s">
        <v>50</v>
      </c>
      <c r="H254" s="3" t="s">
        <v>49</v>
      </c>
      <c r="I254" s="3" t="s">
        <v>1339</v>
      </c>
      <c r="J254" s="3" t="s">
        <v>319</v>
      </c>
    </row>
    <row r="255">
      <c r="A255" s="4">
        <v>90339.0</v>
      </c>
      <c r="B255" s="3" t="s">
        <v>1372</v>
      </c>
      <c r="C255" s="5">
        <v>46157.19065972222</v>
      </c>
      <c r="D255" s="3" t="s">
        <v>727</v>
      </c>
      <c r="E255" s="3" t="s">
        <v>1373</v>
      </c>
      <c r="F255" s="4">
        <v>7.357822354E9</v>
      </c>
      <c r="G255" s="3" t="s">
        <v>50</v>
      </c>
      <c r="H255" s="3" t="s">
        <v>64</v>
      </c>
      <c r="I255" s="3" t="s">
        <v>84</v>
      </c>
      <c r="J255" s="3" t="s">
        <v>47</v>
      </c>
    </row>
    <row r="256">
      <c r="A256" s="4">
        <v>90340.0</v>
      </c>
      <c r="B256" s="3" t="s">
        <v>1374</v>
      </c>
      <c r="C256" s="5">
        <v>46157.23149305556</v>
      </c>
      <c r="D256" s="3" t="s">
        <v>727</v>
      </c>
      <c r="E256" s="3" t="s">
        <v>1375</v>
      </c>
      <c r="F256" s="19">
        <v>1.7164E10</v>
      </c>
      <c r="G256" s="3" t="s">
        <v>612</v>
      </c>
      <c r="H256" s="3" t="s">
        <v>611</v>
      </c>
      <c r="I256" s="3" t="s">
        <v>1376</v>
      </c>
      <c r="J256" s="3" t="s">
        <v>47</v>
      </c>
    </row>
    <row r="257">
      <c r="A257" s="4">
        <v>90341.0</v>
      </c>
      <c r="B257" s="3" t="s">
        <v>1377</v>
      </c>
      <c r="C257" s="5">
        <v>46157.29907407407</v>
      </c>
      <c r="D257" s="3" t="s">
        <v>724</v>
      </c>
      <c r="E257" s="12"/>
      <c r="F257" s="12"/>
      <c r="G257" s="3" t="s">
        <v>50</v>
      </c>
      <c r="H257" s="3" t="s">
        <v>750</v>
      </c>
      <c r="I257" s="3" t="s">
        <v>1332</v>
      </c>
      <c r="J257" s="3" t="s">
        <v>47</v>
      </c>
    </row>
    <row r="258">
      <c r="A258" s="4">
        <v>90342.0</v>
      </c>
      <c r="B258" s="3" t="s">
        <v>1378</v>
      </c>
      <c r="C258" s="5">
        <v>46157.360081018516</v>
      </c>
      <c r="D258" s="3" t="s">
        <v>724</v>
      </c>
      <c r="E258" s="3" t="s">
        <v>1379</v>
      </c>
      <c r="F258" s="4">
        <v>9.73898984E9</v>
      </c>
      <c r="G258" s="3" t="s">
        <v>50</v>
      </c>
      <c r="H258" s="3" t="s">
        <v>112</v>
      </c>
      <c r="I258" s="3" t="s">
        <v>508</v>
      </c>
      <c r="J258" s="3" t="s">
        <v>47</v>
      </c>
    </row>
    <row r="259">
      <c r="A259" s="4">
        <v>90346.0</v>
      </c>
      <c r="B259" s="3" t="s">
        <v>1380</v>
      </c>
      <c r="C259" s="5">
        <v>46157.48082175926</v>
      </c>
      <c r="D259" s="3" t="s">
        <v>727</v>
      </c>
      <c r="E259" s="3" t="s">
        <v>1381</v>
      </c>
      <c r="F259" s="4">
        <v>7.905308821E9</v>
      </c>
      <c r="G259" s="3" t="s">
        <v>50</v>
      </c>
      <c r="H259" s="3" t="s">
        <v>54</v>
      </c>
      <c r="I259" s="3" t="s">
        <v>105</v>
      </c>
      <c r="J259" s="12"/>
      <c r="K259" s="12"/>
    </row>
    <row r="260">
      <c r="A260" s="4">
        <v>90347.0</v>
      </c>
      <c r="B260" s="3" t="s">
        <v>1382</v>
      </c>
      <c r="C260" s="5">
        <v>46157.52333333333</v>
      </c>
      <c r="D260" s="3" t="s">
        <v>724</v>
      </c>
      <c r="E260" s="3" t="s">
        <v>1383</v>
      </c>
      <c r="F260" s="4">
        <v>8.004703285E9</v>
      </c>
      <c r="G260" s="3" t="s">
        <v>50</v>
      </c>
      <c r="H260" s="3" t="s">
        <v>54</v>
      </c>
      <c r="I260" s="3" t="s">
        <v>659</v>
      </c>
      <c r="J260" s="3" t="s">
        <v>47</v>
      </c>
    </row>
    <row r="261">
      <c r="A261" s="4">
        <v>90348.0</v>
      </c>
      <c r="B261" s="3" t="s">
        <v>1384</v>
      </c>
      <c r="C261" s="5">
        <v>46157.529386574075</v>
      </c>
      <c r="D261" s="3" t="s">
        <v>727</v>
      </c>
      <c r="E261" s="3" t="s">
        <v>1385</v>
      </c>
      <c r="F261" s="4">
        <v>8.52908537E9</v>
      </c>
      <c r="G261" s="3" t="s">
        <v>50</v>
      </c>
      <c r="H261" s="3" t="s">
        <v>54</v>
      </c>
      <c r="I261" s="3" t="s">
        <v>740</v>
      </c>
      <c r="J261" s="3" t="s">
        <v>47</v>
      </c>
    </row>
    <row r="262">
      <c r="A262" s="4">
        <v>90349.0</v>
      </c>
      <c r="B262" s="3" t="s">
        <v>1386</v>
      </c>
      <c r="C262" s="5">
        <v>46157.55372685185</v>
      </c>
      <c r="D262" s="3" t="s">
        <v>724</v>
      </c>
      <c r="E262" s="3" t="s">
        <v>1387</v>
      </c>
      <c r="F262" s="4">
        <v>7.003517772E9</v>
      </c>
      <c r="G262" s="3" t="s">
        <v>50</v>
      </c>
      <c r="H262" s="3" t="s">
        <v>175</v>
      </c>
      <c r="I262" s="3" t="s">
        <v>1388</v>
      </c>
      <c r="J262" s="3" t="s">
        <v>47</v>
      </c>
    </row>
    <row r="263">
      <c r="A263" s="4">
        <v>90350.0</v>
      </c>
      <c r="B263" s="3" t="s">
        <v>1389</v>
      </c>
      <c r="C263" s="5">
        <v>46157.65692129629</v>
      </c>
      <c r="D263" s="3" t="s">
        <v>724</v>
      </c>
      <c r="E263" s="3" t="s">
        <v>1390</v>
      </c>
      <c r="F263" s="4">
        <v>9.798992133E9</v>
      </c>
      <c r="G263" s="3" t="s">
        <v>50</v>
      </c>
      <c r="H263" s="3" t="s">
        <v>529</v>
      </c>
      <c r="I263" s="3" t="s">
        <v>1391</v>
      </c>
      <c r="J263" s="3" t="s">
        <v>47</v>
      </c>
    </row>
    <row r="264">
      <c r="A264" s="4">
        <v>90351.0</v>
      </c>
      <c r="B264" s="3" t="s">
        <v>1392</v>
      </c>
      <c r="C264" s="5">
        <v>46157.66695601852</v>
      </c>
      <c r="D264" s="3" t="s">
        <v>724</v>
      </c>
      <c r="E264" s="3" t="s">
        <v>1393</v>
      </c>
      <c r="F264" s="4">
        <v>9.00840663E9</v>
      </c>
      <c r="G264" s="3" t="s">
        <v>50</v>
      </c>
      <c r="H264" s="3" t="s">
        <v>162</v>
      </c>
      <c r="I264" s="3" t="s">
        <v>161</v>
      </c>
      <c r="J264" s="3" t="s">
        <v>47</v>
      </c>
    </row>
    <row r="265">
      <c r="A265" s="4">
        <v>90352.0</v>
      </c>
      <c r="B265" s="3" t="s">
        <v>1394</v>
      </c>
      <c r="C265" s="5">
        <v>46157.708449074074</v>
      </c>
      <c r="D265" s="3" t="s">
        <v>727</v>
      </c>
      <c r="E265" s="3" t="s">
        <v>1395</v>
      </c>
      <c r="F265" s="4">
        <v>7.330643394E9</v>
      </c>
      <c r="G265" s="3" t="s">
        <v>50</v>
      </c>
      <c r="H265" s="3" t="s">
        <v>162</v>
      </c>
      <c r="I265" s="3" t="s">
        <v>161</v>
      </c>
      <c r="J265" s="3" t="s">
        <v>47</v>
      </c>
    </row>
    <row r="266">
      <c r="A266" s="4">
        <v>90353.0</v>
      </c>
      <c r="B266" s="3" t="s">
        <v>1396</v>
      </c>
      <c r="C266" s="5">
        <v>46157.78303240741</v>
      </c>
      <c r="D266" s="3" t="s">
        <v>724</v>
      </c>
      <c r="E266" s="3" t="s">
        <v>1397</v>
      </c>
      <c r="F266" s="4">
        <v>8.529103378E9</v>
      </c>
      <c r="G266" s="3" t="s">
        <v>50</v>
      </c>
      <c r="H266" s="3" t="s">
        <v>292</v>
      </c>
      <c r="I266" s="3" t="s">
        <v>1398</v>
      </c>
      <c r="J266" s="3" t="s">
        <v>47</v>
      </c>
    </row>
    <row r="267">
      <c r="A267" s="4">
        <v>90354.0</v>
      </c>
      <c r="B267" s="3" t="s">
        <v>1399</v>
      </c>
      <c r="C267" s="5">
        <v>46157.820706018516</v>
      </c>
      <c r="D267" s="3" t="s">
        <v>724</v>
      </c>
      <c r="E267" s="3" t="s">
        <v>1400</v>
      </c>
      <c r="F267" s="4">
        <v>8.891063499E9</v>
      </c>
      <c r="G267" s="3" t="s">
        <v>50</v>
      </c>
      <c r="H267" s="3" t="s">
        <v>349</v>
      </c>
      <c r="I267" s="3" t="s">
        <v>1401</v>
      </c>
      <c r="J267" s="3" t="s">
        <v>47</v>
      </c>
    </row>
    <row r="268">
      <c r="A268" s="4">
        <v>90355.0</v>
      </c>
      <c r="B268" s="3" t="s">
        <v>1402</v>
      </c>
      <c r="C268" s="5">
        <v>46157.90699074074</v>
      </c>
      <c r="D268" s="3" t="s">
        <v>724</v>
      </c>
      <c r="E268" s="3" t="s">
        <v>1403</v>
      </c>
      <c r="F268" s="4">
        <v>7.973527471E9</v>
      </c>
      <c r="G268" s="3" t="s">
        <v>50</v>
      </c>
      <c r="H268" s="3" t="s">
        <v>49</v>
      </c>
      <c r="I268" s="3" t="s">
        <v>1404</v>
      </c>
      <c r="J268" s="3" t="s">
        <v>47</v>
      </c>
    </row>
    <row r="269">
      <c r="A269" s="4">
        <v>90356.0</v>
      </c>
      <c r="B269" s="3" t="s">
        <v>1405</v>
      </c>
      <c r="C269" s="5">
        <v>46157.956145833334</v>
      </c>
      <c r="D269" s="3" t="s">
        <v>727</v>
      </c>
      <c r="E269" s="3" t="s">
        <v>1406</v>
      </c>
      <c r="F269" s="4">
        <v>9.840709959E9</v>
      </c>
      <c r="G269" s="3" t="s">
        <v>50</v>
      </c>
      <c r="H269" s="3" t="s">
        <v>112</v>
      </c>
      <c r="I269" s="3" t="s">
        <v>508</v>
      </c>
      <c r="J269" s="3" t="s">
        <v>47</v>
      </c>
    </row>
    <row r="270">
      <c r="A270" s="4">
        <v>90357.0</v>
      </c>
      <c r="B270" s="3" t="s">
        <v>1407</v>
      </c>
      <c r="C270" s="5">
        <v>46157.99653935185</v>
      </c>
      <c r="D270" s="3" t="s">
        <v>727</v>
      </c>
      <c r="E270" s="3" t="s">
        <v>1408</v>
      </c>
      <c r="F270" s="4">
        <v>9.502642203E9</v>
      </c>
      <c r="G270" s="3" t="s">
        <v>50</v>
      </c>
      <c r="H270" s="3" t="s">
        <v>750</v>
      </c>
      <c r="I270" s="3" t="s">
        <v>1409</v>
      </c>
      <c r="J270" s="3" t="s">
        <v>47</v>
      </c>
    </row>
    <row r="271">
      <c r="A271" s="4">
        <v>90358.0</v>
      </c>
      <c r="B271" s="3" t="s">
        <v>1410</v>
      </c>
      <c r="C271" s="5">
        <v>46158.14413194444</v>
      </c>
      <c r="D271" s="3" t="s">
        <v>724</v>
      </c>
      <c r="E271" s="3" t="s">
        <v>1411</v>
      </c>
      <c r="F271" s="4">
        <v>8.931037103E9</v>
      </c>
      <c r="G271" s="3" t="s">
        <v>50</v>
      </c>
      <c r="H271" s="3" t="s">
        <v>54</v>
      </c>
      <c r="I271" s="3" t="s">
        <v>105</v>
      </c>
      <c r="J271" s="3" t="s">
        <v>47</v>
      </c>
    </row>
    <row r="272">
      <c r="A272" s="4">
        <v>90359.0</v>
      </c>
      <c r="B272" s="3" t="s">
        <v>847</v>
      </c>
      <c r="C272" s="5">
        <v>46158.50855324074</v>
      </c>
      <c r="D272" s="3" t="s">
        <v>724</v>
      </c>
      <c r="E272" s="3" t="s">
        <v>1412</v>
      </c>
      <c r="F272" s="4">
        <v>7.022671642E9</v>
      </c>
      <c r="G272" s="3" t="s">
        <v>50</v>
      </c>
      <c r="H272" s="3" t="s">
        <v>162</v>
      </c>
      <c r="I272" s="3" t="s">
        <v>161</v>
      </c>
      <c r="J272" s="3" t="s">
        <v>47</v>
      </c>
    </row>
    <row r="273">
      <c r="A273" s="4">
        <v>90360.0</v>
      </c>
      <c r="B273" s="3" t="s">
        <v>1413</v>
      </c>
      <c r="C273" s="5">
        <v>46158.58729166666</v>
      </c>
      <c r="D273" s="3" t="s">
        <v>724</v>
      </c>
      <c r="E273" s="3" t="s">
        <v>1414</v>
      </c>
      <c r="F273" s="4">
        <v>2.062946236E9</v>
      </c>
      <c r="G273" s="3" t="s">
        <v>612</v>
      </c>
      <c r="H273" s="3" t="s">
        <v>611</v>
      </c>
      <c r="I273" s="3" t="s">
        <v>610</v>
      </c>
      <c r="J273" s="3" t="s">
        <v>47</v>
      </c>
    </row>
    <row r="274">
      <c r="A274" s="4">
        <v>90361.0</v>
      </c>
      <c r="B274" s="3" t="s">
        <v>1415</v>
      </c>
      <c r="C274" s="5">
        <v>46158.67486111111</v>
      </c>
      <c r="D274" s="3" t="s">
        <v>724</v>
      </c>
      <c r="E274" s="3" t="s">
        <v>1416</v>
      </c>
      <c r="F274" s="4">
        <v>9.834207789E9</v>
      </c>
      <c r="G274" s="3" t="s">
        <v>50</v>
      </c>
      <c r="H274" s="3" t="s">
        <v>64</v>
      </c>
      <c r="I274" s="3" t="s">
        <v>63</v>
      </c>
      <c r="J274" s="3" t="s">
        <v>47</v>
      </c>
    </row>
    <row r="275">
      <c r="A275" s="4">
        <v>90362.0</v>
      </c>
      <c r="B275" s="3" t="s">
        <v>1417</v>
      </c>
      <c r="C275" s="5">
        <v>46158.700324074074</v>
      </c>
      <c r="D275" s="3" t="s">
        <v>727</v>
      </c>
      <c r="E275" s="3" t="s">
        <v>1418</v>
      </c>
      <c r="F275" s="4">
        <v>6.200960715E9</v>
      </c>
      <c r="G275" s="3" t="s">
        <v>50</v>
      </c>
      <c r="H275" s="3" t="s">
        <v>529</v>
      </c>
      <c r="I275" s="3" t="s">
        <v>1419</v>
      </c>
      <c r="J275" s="3" t="s">
        <v>47</v>
      </c>
    </row>
    <row r="276">
      <c r="A276" s="4">
        <v>90363.0</v>
      </c>
      <c r="B276" s="3" t="s">
        <v>1420</v>
      </c>
      <c r="C276" s="5">
        <v>46158.72221064815</v>
      </c>
      <c r="D276" s="3" t="s">
        <v>727</v>
      </c>
      <c r="E276" s="3" t="s">
        <v>1421</v>
      </c>
      <c r="F276" s="4">
        <v>8.861932811E9</v>
      </c>
      <c r="G276" s="3" t="s">
        <v>50</v>
      </c>
      <c r="H276" s="3" t="s">
        <v>162</v>
      </c>
      <c r="I276" s="3" t="s">
        <v>161</v>
      </c>
      <c r="J276" s="3" t="s">
        <v>47</v>
      </c>
    </row>
    <row r="277">
      <c r="A277" s="4">
        <v>90364.0</v>
      </c>
      <c r="B277" s="3" t="s">
        <v>1422</v>
      </c>
      <c r="C277" s="5">
        <v>46158.736655092594</v>
      </c>
      <c r="D277" s="3" t="s">
        <v>727</v>
      </c>
      <c r="E277" s="3" t="s">
        <v>1423</v>
      </c>
      <c r="F277" s="4">
        <v>9.999948458E9</v>
      </c>
      <c r="G277" s="3" t="s">
        <v>50</v>
      </c>
      <c r="H277" s="3" t="s">
        <v>596</v>
      </c>
      <c r="I277" s="3" t="s">
        <v>1424</v>
      </c>
      <c r="J277" s="3" t="s">
        <v>47</v>
      </c>
    </row>
    <row r="278">
      <c r="A278" s="4">
        <v>90365.0</v>
      </c>
      <c r="B278" s="3" t="s">
        <v>1425</v>
      </c>
      <c r="C278" s="5">
        <v>46158.747141203705</v>
      </c>
      <c r="D278" s="3" t="s">
        <v>727</v>
      </c>
      <c r="E278" s="3" t="s">
        <v>1426</v>
      </c>
      <c r="F278" s="4">
        <v>9.971571995E9</v>
      </c>
      <c r="G278" s="3" t="s">
        <v>50</v>
      </c>
      <c r="H278" s="3" t="s">
        <v>140</v>
      </c>
      <c r="I278" s="3" t="s">
        <v>139</v>
      </c>
      <c r="J278" s="3" t="s">
        <v>47</v>
      </c>
    </row>
    <row r="279">
      <c r="A279" s="4">
        <v>90366.0</v>
      </c>
      <c r="B279" s="3" t="s">
        <v>1427</v>
      </c>
      <c r="C279" s="5">
        <v>46158.7765625</v>
      </c>
      <c r="D279" s="3" t="s">
        <v>727</v>
      </c>
      <c r="E279" s="3" t="s">
        <v>1428</v>
      </c>
      <c r="F279" s="4">
        <v>8.511922006E9</v>
      </c>
      <c r="G279" s="3" t="s">
        <v>50</v>
      </c>
      <c r="H279" s="3" t="s">
        <v>150</v>
      </c>
      <c r="I279" s="3" t="s">
        <v>548</v>
      </c>
      <c r="J279" s="3" t="s">
        <v>47</v>
      </c>
    </row>
    <row r="280">
      <c r="A280" s="4">
        <v>90367.0</v>
      </c>
      <c r="B280" s="3" t="s">
        <v>1429</v>
      </c>
      <c r="C280" s="5">
        <v>46158.78743055555</v>
      </c>
      <c r="D280" s="3" t="s">
        <v>724</v>
      </c>
      <c r="E280" s="3" t="s">
        <v>1430</v>
      </c>
      <c r="F280" s="4">
        <v>9.901222611E9</v>
      </c>
      <c r="G280" s="3" t="s">
        <v>50</v>
      </c>
      <c r="H280" s="3" t="s">
        <v>162</v>
      </c>
      <c r="I280" s="3" t="s">
        <v>161</v>
      </c>
      <c r="J280" s="3" t="s">
        <v>47</v>
      </c>
    </row>
    <row r="281">
      <c r="A281" s="4">
        <v>90368.0</v>
      </c>
      <c r="B281" s="3" t="s">
        <v>1431</v>
      </c>
      <c r="C281" s="5">
        <v>46158.83949074074</v>
      </c>
      <c r="D281" s="3" t="s">
        <v>724</v>
      </c>
      <c r="E281" s="3" t="s">
        <v>1432</v>
      </c>
      <c r="F281" s="4">
        <v>7.388291118E9</v>
      </c>
      <c r="G281" s="3" t="s">
        <v>50</v>
      </c>
      <c r="H281" s="3" t="s">
        <v>54</v>
      </c>
      <c r="I281" s="3" t="s">
        <v>659</v>
      </c>
      <c r="J281" s="3" t="s">
        <v>47</v>
      </c>
    </row>
    <row r="282">
      <c r="A282" s="4">
        <v>90369.0</v>
      </c>
      <c r="B282" s="3" t="s">
        <v>1433</v>
      </c>
      <c r="C282" s="5">
        <v>46158.9399537037</v>
      </c>
      <c r="D282" s="3" t="s">
        <v>724</v>
      </c>
      <c r="E282" s="3" t="s">
        <v>1434</v>
      </c>
      <c r="F282" s="4">
        <v>8.582833346E9</v>
      </c>
      <c r="G282" s="3" t="s">
        <v>50</v>
      </c>
      <c r="H282" s="3" t="s">
        <v>54</v>
      </c>
      <c r="I282" s="3" t="s">
        <v>383</v>
      </c>
      <c r="J282" s="3" t="s">
        <v>47</v>
      </c>
    </row>
    <row r="283">
      <c r="A283" s="4">
        <v>90370.0</v>
      </c>
      <c r="B283" s="3" t="s">
        <v>1050</v>
      </c>
      <c r="C283" s="5">
        <v>46159.06439814815</v>
      </c>
      <c r="D283" s="3" t="s">
        <v>727</v>
      </c>
      <c r="E283" s="12"/>
      <c r="F283" s="12"/>
      <c r="G283" s="3" t="s">
        <v>50</v>
      </c>
      <c r="H283" s="3" t="s">
        <v>64</v>
      </c>
      <c r="I283" s="3" t="s">
        <v>84</v>
      </c>
      <c r="J283" s="3" t="s">
        <v>47</v>
      </c>
    </row>
    <row r="284">
      <c r="A284" s="4">
        <v>90371.0</v>
      </c>
      <c r="B284" s="3" t="s">
        <v>1435</v>
      </c>
      <c r="C284" s="5">
        <v>46159.19190972222</v>
      </c>
      <c r="D284" s="3" t="s">
        <v>727</v>
      </c>
      <c r="E284" s="3" t="s">
        <v>1436</v>
      </c>
      <c r="F284" s="19">
        <v>3.5266E11</v>
      </c>
      <c r="G284" s="3" t="s">
        <v>1437</v>
      </c>
      <c r="H284" s="3" t="s">
        <v>1437</v>
      </c>
      <c r="I284" s="3" t="s">
        <v>1437</v>
      </c>
      <c r="J284" s="3" t="s">
        <v>47</v>
      </c>
    </row>
    <row r="285">
      <c r="A285" s="4">
        <v>90372.0</v>
      </c>
      <c r="B285" s="3" t="s">
        <v>1438</v>
      </c>
      <c r="C285" s="5">
        <v>46159.34459490741</v>
      </c>
      <c r="D285" s="3" t="s">
        <v>724</v>
      </c>
      <c r="E285" s="3" t="s">
        <v>1439</v>
      </c>
      <c r="F285" s="4">
        <v>6.309870752E9</v>
      </c>
      <c r="G285" s="3" t="s">
        <v>50</v>
      </c>
      <c r="H285" s="3" t="s">
        <v>100</v>
      </c>
      <c r="I285" s="3" t="s">
        <v>615</v>
      </c>
      <c r="J285" s="3" t="s">
        <v>47</v>
      </c>
    </row>
    <row r="286">
      <c r="A286" s="4">
        <v>90373.0</v>
      </c>
      <c r="B286" s="3" t="s">
        <v>1440</v>
      </c>
      <c r="C286" s="5">
        <v>46159.39079861111</v>
      </c>
      <c r="D286" s="3" t="s">
        <v>724</v>
      </c>
      <c r="E286" s="3" t="s">
        <v>1441</v>
      </c>
      <c r="F286" s="4">
        <v>8.920199149E9</v>
      </c>
      <c r="G286" s="3" t="s">
        <v>50</v>
      </c>
      <c r="H286" s="3" t="s">
        <v>140</v>
      </c>
      <c r="I286" s="3" t="s">
        <v>139</v>
      </c>
      <c r="J286" s="3" t="s">
        <v>47</v>
      </c>
    </row>
    <row r="287">
      <c r="A287" s="4">
        <v>90374.0</v>
      </c>
      <c r="B287" s="3" t="s">
        <v>1442</v>
      </c>
      <c r="C287" s="5">
        <v>46159.43614583334</v>
      </c>
      <c r="D287" s="3" t="s">
        <v>727</v>
      </c>
      <c r="E287" s="3" t="s">
        <v>1443</v>
      </c>
      <c r="F287" s="4">
        <v>9.351171476E9</v>
      </c>
      <c r="G287" s="3" t="s">
        <v>50</v>
      </c>
      <c r="H287" s="3" t="s">
        <v>292</v>
      </c>
      <c r="I287" s="3" t="s">
        <v>759</v>
      </c>
      <c r="J287" s="3" t="s">
        <v>47</v>
      </c>
    </row>
    <row r="288">
      <c r="A288" s="4">
        <v>90375.0</v>
      </c>
      <c r="B288" s="3" t="s">
        <v>1444</v>
      </c>
      <c r="C288" s="5">
        <v>46159.45327546296</v>
      </c>
      <c r="D288" s="3" t="s">
        <v>727</v>
      </c>
      <c r="E288" s="3" t="s">
        <v>1445</v>
      </c>
      <c r="F288" s="4">
        <v>9.884623859E9</v>
      </c>
      <c r="G288" s="3" t="s">
        <v>50</v>
      </c>
      <c r="H288" s="3" t="s">
        <v>112</v>
      </c>
      <c r="I288" s="3" t="s">
        <v>508</v>
      </c>
      <c r="J288" s="3" t="s">
        <v>47</v>
      </c>
    </row>
    <row r="289">
      <c r="A289" s="4">
        <v>90376.0</v>
      </c>
      <c r="B289" s="3" t="s">
        <v>1446</v>
      </c>
      <c r="C289" s="5">
        <v>46159.520462962966</v>
      </c>
      <c r="D289" s="3" t="s">
        <v>727</v>
      </c>
      <c r="E289" s="3" t="s">
        <v>1447</v>
      </c>
      <c r="F289" s="4">
        <v>9.667677917E9</v>
      </c>
      <c r="G289" s="3" t="s">
        <v>50</v>
      </c>
      <c r="H289" s="3" t="s">
        <v>112</v>
      </c>
      <c r="I289" s="3" t="s">
        <v>508</v>
      </c>
      <c r="J289" s="3" t="s">
        <v>47</v>
      </c>
    </row>
    <row r="290">
      <c r="A290" s="4">
        <v>90377.0</v>
      </c>
      <c r="B290" s="3" t="s">
        <v>1448</v>
      </c>
      <c r="C290" s="5">
        <v>46159.537256944444</v>
      </c>
      <c r="D290" s="3" t="s">
        <v>724</v>
      </c>
      <c r="E290" s="3" t="s">
        <v>1449</v>
      </c>
      <c r="F290" s="4">
        <v>9.345255401E9</v>
      </c>
      <c r="G290" s="3" t="s">
        <v>50</v>
      </c>
      <c r="H290" s="3" t="s">
        <v>112</v>
      </c>
      <c r="I290" s="3" t="s">
        <v>1450</v>
      </c>
      <c r="J290" s="3" t="s">
        <v>47</v>
      </c>
    </row>
    <row r="291">
      <c r="A291" s="4">
        <v>90378.0</v>
      </c>
      <c r="B291" s="3" t="s">
        <v>1451</v>
      </c>
      <c r="C291" s="5">
        <v>46159.55663194445</v>
      </c>
      <c r="D291" s="3" t="s">
        <v>724</v>
      </c>
      <c r="E291" s="3" t="s">
        <v>1452</v>
      </c>
      <c r="F291" s="3" t="s">
        <v>1453</v>
      </c>
      <c r="G291" s="3" t="s">
        <v>50</v>
      </c>
      <c r="H291" s="3" t="s">
        <v>117</v>
      </c>
      <c r="I291" s="3" t="s">
        <v>1454</v>
      </c>
      <c r="J291" s="3" t="s">
        <v>47</v>
      </c>
    </row>
    <row r="292">
      <c r="A292" s="4">
        <v>90379.0</v>
      </c>
      <c r="B292" s="3" t="s">
        <v>1455</v>
      </c>
      <c r="C292" s="5">
        <v>46159.64741898148</v>
      </c>
      <c r="D292" s="3" t="s">
        <v>724</v>
      </c>
      <c r="E292" s="3" t="s">
        <v>1456</v>
      </c>
      <c r="F292" s="4">
        <v>8.431280372E9</v>
      </c>
      <c r="G292" s="3" t="s">
        <v>1457</v>
      </c>
      <c r="H292" s="3" t="s">
        <v>1458</v>
      </c>
      <c r="I292" s="3" t="s">
        <v>1458</v>
      </c>
      <c r="J292" s="3" t="s">
        <v>47</v>
      </c>
    </row>
    <row r="293">
      <c r="A293" s="4">
        <v>90380.0</v>
      </c>
      <c r="B293" s="3" t="s">
        <v>1459</v>
      </c>
      <c r="C293" s="5">
        <v>46159.77206018518</v>
      </c>
      <c r="D293" s="3" t="s">
        <v>727</v>
      </c>
      <c r="E293" s="12"/>
      <c r="F293" s="12"/>
      <c r="G293" s="3" t="s">
        <v>50</v>
      </c>
      <c r="H293" s="3" t="s">
        <v>112</v>
      </c>
      <c r="I293" s="3" t="s">
        <v>508</v>
      </c>
      <c r="J293" s="3" t="s">
        <v>47</v>
      </c>
    </row>
    <row r="294">
      <c r="A294" s="4">
        <v>90381.0</v>
      </c>
      <c r="B294" s="3" t="s">
        <v>1460</v>
      </c>
      <c r="C294" s="5">
        <v>46159.77379629629</v>
      </c>
      <c r="D294" s="3" t="s">
        <v>724</v>
      </c>
      <c r="E294" s="3" t="s">
        <v>1461</v>
      </c>
      <c r="F294" s="4">
        <v>7.439397629E9</v>
      </c>
      <c r="G294" s="3" t="s">
        <v>50</v>
      </c>
      <c r="H294" s="3" t="s">
        <v>175</v>
      </c>
      <c r="I294" s="3" t="s">
        <v>1114</v>
      </c>
      <c r="J294" s="3" t="s">
        <v>47</v>
      </c>
    </row>
    <row r="295">
      <c r="A295" s="4">
        <v>90382.0</v>
      </c>
      <c r="B295" s="3" t="s">
        <v>1462</v>
      </c>
      <c r="C295" s="5">
        <v>46159.893958333334</v>
      </c>
      <c r="D295" s="3" t="s">
        <v>727</v>
      </c>
      <c r="E295" s="3" t="s">
        <v>1463</v>
      </c>
      <c r="F295" s="4">
        <v>6.239847602E9</v>
      </c>
      <c r="G295" s="3" t="s">
        <v>50</v>
      </c>
      <c r="H295" s="3" t="s">
        <v>49</v>
      </c>
      <c r="I295" s="3" t="s">
        <v>1404</v>
      </c>
      <c r="J295" s="3" t="s">
        <v>47</v>
      </c>
    </row>
    <row r="296">
      <c r="A296" s="4">
        <v>90383.0</v>
      </c>
      <c r="B296" s="3" t="s">
        <v>1464</v>
      </c>
      <c r="C296" s="5">
        <v>46159.97934027778</v>
      </c>
      <c r="D296" s="3" t="s">
        <v>724</v>
      </c>
      <c r="E296" s="3" t="s">
        <v>1465</v>
      </c>
      <c r="F296" s="4">
        <v>9.309195732E9</v>
      </c>
      <c r="G296" s="3" t="s">
        <v>50</v>
      </c>
      <c r="H296" s="3" t="s">
        <v>64</v>
      </c>
      <c r="I296" s="3" t="s">
        <v>1466</v>
      </c>
      <c r="J296" s="3" t="s">
        <v>47</v>
      </c>
    </row>
    <row r="297">
      <c r="A297" s="4">
        <v>90384.0</v>
      </c>
      <c r="B297" s="3" t="s">
        <v>1467</v>
      </c>
      <c r="C297" s="5">
        <v>46160.019907407404</v>
      </c>
      <c r="D297" s="3" t="s">
        <v>724</v>
      </c>
      <c r="E297" s="3" t="s">
        <v>1468</v>
      </c>
      <c r="F297" s="4">
        <v>7.986665206E9</v>
      </c>
      <c r="G297" s="3" t="s">
        <v>50</v>
      </c>
      <c r="H297" s="3" t="s">
        <v>49</v>
      </c>
      <c r="I297" s="3" t="s">
        <v>1469</v>
      </c>
      <c r="J297" s="3" t="s">
        <v>47</v>
      </c>
    </row>
    <row r="298">
      <c r="A298" s="4">
        <v>90385.0</v>
      </c>
      <c r="B298" s="3" t="s">
        <v>1470</v>
      </c>
      <c r="C298" s="5">
        <v>46160.04577546296</v>
      </c>
      <c r="D298" s="3" t="s">
        <v>724</v>
      </c>
      <c r="E298" s="3" t="s">
        <v>1471</v>
      </c>
      <c r="F298" s="4">
        <v>8.303381282E9</v>
      </c>
      <c r="G298" s="3" t="s">
        <v>50</v>
      </c>
      <c r="H298" s="3" t="s">
        <v>54</v>
      </c>
      <c r="I298" s="3" t="s">
        <v>1472</v>
      </c>
      <c r="J298" s="3" t="s">
        <v>47</v>
      </c>
    </row>
    <row r="299">
      <c r="A299" s="4">
        <v>90386.0</v>
      </c>
      <c r="B299" s="3" t="s">
        <v>1473</v>
      </c>
      <c r="C299" s="5">
        <v>46160.3521412037</v>
      </c>
      <c r="D299" s="3" t="s">
        <v>727</v>
      </c>
      <c r="E299" s="3" t="s">
        <v>1474</v>
      </c>
      <c r="F299" s="4">
        <v>9.886260025E9</v>
      </c>
      <c r="G299" s="3" t="s">
        <v>1345</v>
      </c>
      <c r="H299" s="3" t="s">
        <v>1346</v>
      </c>
      <c r="I299" s="3" t="s">
        <v>1347</v>
      </c>
      <c r="J299" s="3" t="s">
        <v>47</v>
      </c>
    </row>
    <row r="300">
      <c r="A300" s="4">
        <v>90388.0</v>
      </c>
      <c r="B300" s="3" t="s">
        <v>1377</v>
      </c>
      <c r="C300" s="5">
        <v>46160.45277777778</v>
      </c>
      <c r="D300" s="3" t="s">
        <v>724</v>
      </c>
      <c r="E300" s="3" t="s">
        <v>1475</v>
      </c>
      <c r="F300" s="4">
        <v>9.392818398E9</v>
      </c>
      <c r="G300" s="3" t="s">
        <v>50</v>
      </c>
      <c r="H300" s="3" t="s">
        <v>750</v>
      </c>
      <c r="I300" s="3" t="s">
        <v>1332</v>
      </c>
      <c r="J300" s="3" t="s">
        <v>47</v>
      </c>
    </row>
    <row r="301">
      <c r="A301" s="4">
        <v>90389.0</v>
      </c>
      <c r="B301" s="3" t="s">
        <v>1476</v>
      </c>
      <c r="C301" s="5">
        <v>46160.459756944445</v>
      </c>
      <c r="D301" s="3" t="s">
        <v>727</v>
      </c>
      <c r="E301" s="3" t="s">
        <v>1477</v>
      </c>
      <c r="F301" s="4">
        <v>8.722268888E9</v>
      </c>
      <c r="G301" s="3" t="s">
        <v>50</v>
      </c>
      <c r="H301" s="3" t="s">
        <v>100</v>
      </c>
      <c r="I301" s="3" t="s">
        <v>99</v>
      </c>
      <c r="J301" s="3" t="s">
        <v>47</v>
      </c>
    </row>
    <row r="302">
      <c r="A302" s="4">
        <v>90390.0</v>
      </c>
      <c r="B302" s="3" t="s">
        <v>1478</v>
      </c>
      <c r="C302" s="5">
        <v>46160.480416666665</v>
      </c>
      <c r="D302" s="3" t="s">
        <v>727</v>
      </c>
      <c r="E302" s="3" t="s">
        <v>1479</v>
      </c>
      <c r="F302" s="4">
        <v>9.421866313E9</v>
      </c>
      <c r="G302" s="3" t="s">
        <v>50</v>
      </c>
      <c r="H302" s="3" t="s">
        <v>64</v>
      </c>
      <c r="I302" s="3" t="s">
        <v>94</v>
      </c>
      <c r="J302" s="3" t="s">
        <v>47</v>
      </c>
    </row>
    <row r="303">
      <c r="A303" s="4">
        <v>90391.0</v>
      </c>
      <c r="B303" s="3" t="s">
        <v>1480</v>
      </c>
      <c r="C303" s="5">
        <v>46160.54126157407</v>
      </c>
      <c r="D303" s="3" t="s">
        <v>724</v>
      </c>
      <c r="E303" s="3" t="s">
        <v>1481</v>
      </c>
      <c r="F303" s="4">
        <v>8.478951774E9</v>
      </c>
      <c r="G303" s="3" t="s">
        <v>50</v>
      </c>
      <c r="H303" s="3" t="s">
        <v>175</v>
      </c>
      <c r="I303" s="3" t="s">
        <v>1482</v>
      </c>
      <c r="J303" s="3" t="s">
        <v>47</v>
      </c>
    </row>
    <row r="304">
      <c r="A304" s="4">
        <v>90392.0</v>
      </c>
      <c r="B304" s="3" t="s">
        <v>1483</v>
      </c>
      <c r="C304" s="5">
        <v>46160.6365625</v>
      </c>
      <c r="D304" s="3" t="s">
        <v>724</v>
      </c>
      <c r="E304" s="3" t="s">
        <v>1484</v>
      </c>
      <c r="F304" s="4">
        <v>6.300947107E9</v>
      </c>
      <c r="G304" s="3" t="s">
        <v>50</v>
      </c>
      <c r="H304" s="3" t="s">
        <v>162</v>
      </c>
      <c r="I304" s="3" t="s">
        <v>161</v>
      </c>
      <c r="J304" s="3" t="s">
        <v>47</v>
      </c>
    </row>
    <row r="305">
      <c r="A305" s="4">
        <v>90393.0</v>
      </c>
      <c r="B305" s="3" t="s">
        <v>1485</v>
      </c>
      <c r="C305" s="5">
        <v>46160.64640046296</v>
      </c>
      <c r="D305" s="3" t="s">
        <v>724</v>
      </c>
      <c r="E305" s="3" t="s">
        <v>1486</v>
      </c>
      <c r="F305" s="4">
        <v>7.979030132E9</v>
      </c>
      <c r="G305" s="3" t="s">
        <v>50</v>
      </c>
      <c r="H305" s="3" t="s">
        <v>140</v>
      </c>
      <c r="I305" s="3" t="s">
        <v>139</v>
      </c>
      <c r="J305" s="3" t="s">
        <v>47</v>
      </c>
    </row>
    <row r="306">
      <c r="A306" s="4">
        <v>90394.0</v>
      </c>
      <c r="B306" s="3" t="s">
        <v>1487</v>
      </c>
      <c r="C306" s="5">
        <v>46160.65373842593</v>
      </c>
      <c r="D306" s="3" t="s">
        <v>724</v>
      </c>
      <c r="E306" s="3" t="s">
        <v>1488</v>
      </c>
      <c r="F306" s="4">
        <v>7.828058874E9</v>
      </c>
      <c r="G306" s="3" t="s">
        <v>50</v>
      </c>
      <c r="H306" s="3" t="s">
        <v>217</v>
      </c>
      <c r="I306" s="3" t="s">
        <v>216</v>
      </c>
      <c r="J306" s="3" t="s">
        <v>47</v>
      </c>
    </row>
    <row r="307">
      <c r="A307" s="4">
        <v>90395.0</v>
      </c>
      <c r="B307" s="3" t="s">
        <v>1489</v>
      </c>
      <c r="C307" s="5">
        <v>46160.691354166665</v>
      </c>
      <c r="D307" s="3" t="s">
        <v>724</v>
      </c>
      <c r="E307" s="3" t="s">
        <v>1490</v>
      </c>
      <c r="F307" s="4">
        <v>7.838400194E9</v>
      </c>
      <c r="G307" s="3" t="s">
        <v>50</v>
      </c>
      <c r="H307" s="3" t="s">
        <v>64</v>
      </c>
      <c r="I307" s="3" t="s">
        <v>94</v>
      </c>
      <c r="J307" s="3" t="s">
        <v>47</v>
      </c>
    </row>
    <row r="308">
      <c r="A308" s="4">
        <v>90396.0</v>
      </c>
      <c r="B308" s="3" t="s">
        <v>1491</v>
      </c>
      <c r="C308" s="5">
        <v>46160.69201388889</v>
      </c>
      <c r="D308" s="3" t="s">
        <v>724</v>
      </c>
      <c r="E308" s="3" t="s">
        <v>1492</v>
      </c>
      <c r="F308" s="4">
        <v>9.927067922E9</v>
      </c>
      <c r="G308" s="3" t="s">
        <v>50</v>
      </c>
      <c r="H308" s="3" t="s">
        <v>54</v>
      </c>
      <c r="I308" s="3" t="s">
        <v>1493</v>
      </c>
      <c r="J308" s="3" t="s">
        <v>47</v>
      </c>
    </row>
    <row r="309">
      <c r="A309" s="4">
        <v>90397.0</v>
      </c>
      <c r="B309" s="3" t="s">
        <v>1494</v>
      </c>
      <c r="C309" s="5">
        <v>46160.69761574074</v>
      </c>
      <c r="D309" s="3" t="s">
        <v>727</v>
      </c>
      <c r="E309" s="3" t="s">
        <v>1495</v>
      </c>
      <c r="F309" s="4">
        <v>8.144411461E9</v>
      </c>
      <c r="G309" s="3" t="s">
        <v>612</v>
      </c>
      <c r="H309" s="3" t="s">
        <v>1496</v>
      </c>
      <c r="I309" s="3" t="s">
        <v>1497</v>
      </c>
      <c r="J309" s="3" t="s">
        <v>47</v>
      </c>
    </row>
    <row r="310">
      <c r="A310" s="4">
        <v>90398.0</v>
      </c>
      <c r="B310" s="3" t="s">
        <v>1498</v>
      </c>
      <c r="C310" s="5">
        <v>46160.74643518519</v>
      </c>
      <c r="D310" s="3" t="s">
        <v>727</v>
      </c>
      <c r="E310" s="3" t="s">
        <v>1499</v>
      </c>
      <c r="F310" s="4">
        <v>9.052818826E9</v>
      </c>
      <c r="G310" s="3" t="s">
        <v>50</v>
      </c>
      <c r="H310" s="3" t="s">
        <v>750</v>
      </c>
      <c r="I310" s="3" t="s">
        <v>774</v>
      </c>
      <c r="J310" s="3" t="s">
        <v>47</v>
      </c>
    </row>
    <row r="311">
      <c r="A311" s="4">
        <v>90399.0</v>
      </c>
      <c r="B311" s="3" t="s">
        <v>1500</v>
      </c>
      <c r="C311" s="5">
        <v>46160.784421296295</v>
      </c>
      <c r="D311" s="3" t="s">
        <v>727</v>
      </c>
      <c r="E311" s="3" t="s">
        <v>1501</v>
      </c>
      <c r="F311" s="12" t="str">
        <f>+91 78600 67932</f>
        <v>#ERROR!</v>
      </c>
      <c r="G311" s="3" t="s">
        <v>50</v>
      </c>
      <c r="H311" s="3" t="s">
        <v>54</v>
      </c>
      <c r="I311" s="3" t="s">
        <v>1502</v>
      </c>
      <c r="J311" s="3" t="s">
        <v>47</v>
      </c>
    </row>
    <row r="312">
      <c r="A312" s="4">
        <v>90400.0</v>
      </c>
      <c r="B312" s="3" t="s">
        <v>1503</v>
      </c>
      <c r="C312" s="5">
        <v>46160.858136574076</v>
      </c>
      <c r="D312" s="3" t="s">
        <v>727</v>
      </c>
      <c r="E312" s="3" t="s">
        <v>1504</v>
      </c>
      <c r="F312" s="4">
        <v>9.996077351E9</v>
      </c>
      <c r="G312" s="3" t="s">
        <v>50</v>
      </c>
      <c r="H312" s="3" t="s">
        <v>117</v>
      </c>
      <c r="I312" s="3" t="s">
        <v>1505</v>
      </c>
      <c r="J312" s="3" t="s">
        <v>47</v>
      </c>
    </row>
    <row r="313">
      <c r="A313" s="4">
        <v>90401.0</v>
      </c>
      <c r="B313" s="3" t="s">
        <v>1506</v>
      </c>
      <c r="C313" s="5">
        <v>46160.86246527778</v>
      </c>
      <c r="D313" s="3" t="s">
        <v>727</v>
      </c>
      <c r="E313" s="3" t="s">
        <v>1507</v>
      </c>
      <c r="F313" s="4">
        <v>8.299753238E9</v>
      </c>
      <c r="G313" s="3" t="s">
        <v>50</v>
      </c>
      <c r="H313" s="3" t="s">
        <v>54</v>
      </c>
      <c r="I313" s="3" t="s">
        <v>383</v>
      </c>
      <c r="J313" s="3" t="s">
        <v>47</v>
      </c>
    </row>
    <row r="314">
      <c r="A314" s="4">
        <v>90402.0</v>
      </c>
      <c r="B314" s="3" t="s">
        <v>1508</v>
      </c>
      <c r="C314" s="5">
        <v>46160.87136574074</v>
      </c>
      <c r="D314" s="3" t="s">
        <v>727</v>
      </c>
      <c r="E314" s="3" t="s">
        <v>1509</v>
      </c>
      <c r="F314" s="12" t="str">
        <f>+65 87000497</f>
        <v>#ERROR!</v>
      </c>
      <c r="G314" s="3" t="s">
        <v>612</v>
      </c>
      <c r="H314" s="3" t="s">
        <v>937</v>
      </c>
      <c r="I314" s="3" t="s">
        <v>1510</v>
      </c>
      <c r="J314" s="3" t="s">
        <v>47</v>
      </c>
    </row>
    <row r="315">
      <c r="A315" s="4">
        <v>90403.0</v>
      </c>
      <c r="B315" s="3" t="s">
        <v>1511</v>
      </c>
      <c r="C315" s="5">
        <v>46160.871770833335</v>
      </c>
      <c r="D315" s="3" t="s">
        <v>724</v>
      </c>
      <c r="E315" s="3" t="s">
        <v>1512</v>
      </c>
      <c r="F315" s="4">
        <v>9.599274814E9</v>
      </c>
      <c r="G315" s="3" t="s">
        <v>50</v>
      </c>
      <c r="H315" s="3" t="s">
        <v>140</v>
      </c>
      <c r="I315" s="3" t="s">
        <v>139</v>
      </c>
      <c r="J315" s="3" t="s">
        <v>47</v>
      </c>
    </row>
    <row r="316">
      <c r="A316" s="4">
        <v>90404.0</v>
      </c>
      <c r="B316" s="3" t="s">
        <v>1513</v>
      </c>
      <c r="C316" s="5">
        <v>46160.87465277778</v>
      </c>
      <c r="D316" s="3" t="s">
        <v>724</v>
      </c>
      <c r="E316" s="3" t="s">
        <v>1514</v>
      </c>
      <c r="F316" s="19">
        <v>4.4759E11</v>
      </c>
      <c r="G316" s="3" t="s">
        <v>809</v>
      </c>
      <c r="H316" s="3" t="s">
        <v>1515</v>
      </c>
      <c r="I316" s="3" t="s">
        <v>1516</v>
      </c>
      <c r="J316" s="3" t="s">
        <v>47</v>
      </c>
    </row>
    <row r="317">
      <c r="A317" s="4">
        <v>90405.0</v>
      </c>
      <c r="B317" s="3" t="s">
        <v>1517</v>
      </c>
      <c r="C317" s="5">
        <v>46160.88375</v>
      </c>
      <c r="D317" s="3" t="s">
        <v>724</v>
      </c>
      <c r="E317" s="3" t="s">
        <v>1518</v>
      </c>
      <c r="F317" s="4">
        <v>8.170948892E9</v>
      </c>
      <c r="G317" s="3" t="s">
        <v>50</v>
      </c>
      <c r="H317" s="3" t="s">
        <v>175</v>
      </c>
      <c r="I317" s="3" t="s">
        <v>1519</v>
      </c>
      <c r="J317" s="3" t="s">
        <v>47</v>
      </c>
    </row>
    <row r="318">
      <c r="A318" s="4">
        <v>90406.0</v>
      </c>
      <c r="B318" s="3" t="s">
        <v>1520</v>
      </c>
      <c r="C318" s="5">
        <v>46160.89481481481</v>
      </c>
      <c r="D318" s="3" t="s">
        <v>724</v>
      </c>
      <c r="E318" s="3" t="s">
        <v>1521</v>
      </c>
      <c r="F318" s="4">
        <v>9.167723375E9</v>
      </c>
      <c r="G318" s="3" t="s">
        <v>50</v>
      </c>
      <c r="H318" s="3" t="s">
        <v>64</v>
      </c>
      <c r="I318" s="3" t="s">
        <v>307</v>
      </c>
      <c r="J318" s="3" t="s">
        <v>47</v>
      </c>
    </row>
    <row r="319">
      <c r="A319" s="4">
        <v>90407.0</v>
      </c>
      <c r="B319" s="3" t="s">
        <v>1522</v>
      </c>
      <c r="C319" s="5">
        <v>46160.922847222224</v>
      </c>
      <c r="D319" s="3" t="s">
        <v>724</v>
      </c>
      <c r="E319" s="3" t="s">
        <v>1523</v>
      </c>
      <c r="F319" s="4">
        <v>9.03441717E9</v>
      </c>
      <c r="G319" s="3" t="s">
        <v>50</v>
      </c>
      <c r="H319" s="3" t="s">
        <v>54</v>
      </c>
      <c r="I319" s="3" t="s">
        <v>145</v>
      </c>
      <c r="J319" s="3" t="s">
        <v>47</v>
      </c>
    </row>
    <row r="320">
      <c r="A320" s="4">
        <v>90408.0</v>
      </c>
      <c r="B320" s="3" t="s">
        <v>1524</v>
      </c>
      <c r="C320" s="5">
        <v>46160.96576388889</v>
      </c>
      <c r="D320" s="3" t="s">
        <v>724</v>
      </c>
      <c r="E320" s="3" t="s">
        <v>1525</v>
      </c>
      <c r="F320" s="4">
        <v>7.48997199E9</v>
      </c>
      <c r="G320" s="3" t="s">
        <v>50</v>
      </c>
      <c r="H320" s="3" t="s">
        <v>157</v>
      </c>
      <c r="I320" s="3" t="s">
        <v>819</v>
      </c>
      <c r="J320" s="3" t="s">
        <v>47</v>
      </c>
    </row>
    <row r="321">
      <c r="A321" s="4">
        <v>90409.0</v>
      </c>
      <c r="B321" s="3" t="s">
        <v>1526</v>
      </c>
      <c r="C321" s="5">
        <v>46160.97975694444</v>
      </c>
      <c r="D321" s="3" t="s">
        <v>724</v>
      </c>
      <c r="E321" s="3" t="s">
        <v>1527</v>
      </c>
      <c r="F321" s="4">
        <v>7.277157611E9</v>
      </c>
      <c r="G321" s="3" t="s">
        <v>50</v>
      </c>
      <c r="H321" s="3" t="s">
        <v>135</v>
      </c>
      <c r="I321" s="3" t="s">
        <v>440</v>
      </c>
      <c r="J321" s="3" t="s">
        <v>47</v>
      </c>
    </row>
    <row r="322">
      <c r="A322" s="4">
        <v>90410.0</v>
      </c>
      <c r="B322" s="3" t="s">
        <v>1528</v>
      </c>
      <c r="C322" s="5">
        <v>46161.03251157407</v>
      </c>
      <c r="D322" s="3" t="s">
        <v>724</v>
      </c>
      <c r="E322" s="3" t="s">
        <v>1529</v>
      </c>
      <c r="F322" s="19">
        <v>4.4776E11</v>
      </c>
      <c r="G322" s="3" t="s">
        <v>809</v>
      </c>
      <c r="H322" s="3" t="s">
        <v>1530</v>
      </c>
      <c r="I322" s="3" t="s">
        <v>1530</v>
      </c>
      <c r="J322" s="3" t="s">
        <v>47</v>
      </c>
    </row>
    <row r="323">
      <c r="A323" s="4">
        <v>90411.0</v>
      </c>
      <c r="B323" s="3" t="s">
        <v>1531</v>
      </c>
      <c r="C323" s="5">
        <v>46161.28869212963</v>
      </c>
      <c r="D323" s="3" t="s">
        <v>724</v>
      </c>
      <c r="E323" s="3" t="s">
        <v>1532</v>
      </c>
      <c r="F323" s="4">
        <v>8.847285542E9</v>
      </c>
      <c r="G323" s="3" t="s">
        <v>50</v>
      </c>
      <c r="H323" s="3" t="s">
        <v>140</v>
      </c>
      <c r="I323" s="3" t="s">
        <v>139</v>
      </c>
      <c r="J323" s="3" t="s">
        <v>47</v>
      </c>
    </row>
    <row r="324">
      <c r="A324" s="4">
        <v>90412.0</v>
      </c>
      <c r="B324" s="3" t="s">
        <v>1533</v>
      </c>
      <c r="C324" s="5">
        <v>46161.42947916667</v>
      </c>
      <c r="D324" s="3" t="s">
        <v>724</v>
      </c>
      <c r="E324" s="3" t="s">
        <v>1534</v>
      </c>
      <c r="F324" s="4">
        <v>9.962908055E9</v>
      </c>
      <c r="G324" s="3" t="s">
        <v>50</v>
      </c>
      <c r="H324" s="3" t="s">
        <v>112</v>
      </c>
      <c r="I324" s="3" t="s">
        <v>508</v>
      </c>
      <c r="J324" s="3" t="s">
        <v>47</v>
      </c>
    </row>
    <row r="325">
      <c r="A325" s="4">
        <v>90413.0</v>
      </c>
      <c r="B325" s="3" t="s">
        <v>1535</v>
      </c>
      <c r="C325" s="5">
        <v>46161.44311342593</v>
      </c>
      <c r="D325" s="3" t="s">
        <v>724</v>
      </c>
      <c r="E325" s="3" t="s">
        <v>1536</v>
      </c>
      <c r="F325" s="4">
        <v>9.01903147E9</v>
      </c>
      <c r="G325" s="3" t="s">
        <v>50</v>
      </c>
      <c r="H325" s="3" t="s">
        <v>162</v>
      </c>
      <c r="I325" s="3" t="s">
        <v>161</v>
      </c>
      <c r="J325" s="3" t="s">
        <v>47</v>
      </c>
    </row>
    <row r="326">
      <c r="A326" s="4">
        <v>90414.0</v>
      </c>
      <c r="B326" s="3" t="s">
        <v>1537</v>
      </c>
      <c r="C326" s="5">
        <v>46161.46711805555</v>
      </c>
      <c r="D326" s="3" t="s">
        <v>724</v>
      </c>
      <c r="E326" s="3" t="s">
        <v>1538</v>
      </c>
      <c r="F326" s="4">
        <v>9.994751647E9</v>
      </c>
      <c r="G326" s="3" t="s">
        <v>50</v>
      </c>
      <c r="H326" s="3" t="s">
        <v>112</v>
      </c>
      <c r="I326" s="3" t="s">
        <v>1539</v>
      </c>
      <c r="J326" s="3" t="s">
        <v>47</v>
      </c>
    </row>
    <row r="327">
      <c r="A327" s="4">
        <v>90415.0</v>
      </c>
      <c r="B327" s="3" t="s">
        <v>1540</v>
      </c>
      <c r="C327" s="5">
        <v>46161.46859953704</v>
      </c>
      <c r="D327" s="3" t="s">
        <v>724</v>
      </c>
      <c r="E327" s="3" t="s">
        <v>1541</v>
      </c>
      <c r="F327" s="4">
        <v>9.820080427E9</v>
      </c>
      <c r="G327" s="3" t="s">
        <v>50</v>
      </c>
      <c r="H327" s="3" t="s">
        <v>162</v>
      </c>
      <c r="I327" s="3" t="s">
        <v>161</v>
      </c>
      <c r="J327" s="3" t="s">
        <v>47</v>
      </c>
    </row>
    <row r="328">
      <c r="A328" s="4">
        <v>90416.0</v>
      </c>
      <c r="B328" s="3" t="s">
        <v>1542</v>
      </c>
      <c r="C328" s="5">
        <v>46161.48730324074</v>
      </c>
      <c r="D328" s="3" t="s">
        <v>724</v>
      </c>
      <c r="E328" s="3" t="s">
        <v>1543</v>
      </c>
      <c r="F328" s="4">
        <v>9.958635133E9</v>
      </c>
      <c r="G328" s="3" t="s">
        <v>50</v>
      </c>
      <c r="H328" s="3" t="s">
        <v>140</v>
      </c>
      <c r="I328" s="3" t="s">
        <v>139</v>
      </c>
      <c r="J328" s="3" t="s">
        <v>47</v>
      </c>
    </row>
    <row r="329">
      <c r="A329" s="4">
        <v>90417.0</v>
      </c>
      <c r="B329" s="3" t="s">
        <v>1544</v>
      </c>
      <c r="C329" s="5">
        <v>46161.51777777778</v>
      </c>
      <c r="D329" s="3" t="s">
        <v>724</v>
      </c>
      <c r="E329" s="3" t="s">
        <v>1545</v>
      </c>
      <c r="F329" s="4">
        <v>9.588951284E9</v>
      </c>
      <c r="G329" s="3" t="s">
        <v>50</v>
      </c>
      <c r="H329" s="3" t="s">
        <v>64</v>
      </c>
      <c r="I329" s="3" t="s">
        <v>94</v>
      </c>
      <c r="J329" s="3" t="s">
        <v>47</v>
      </c>
    </row>
    <row r="330">
      <c r="A330" s="4">
        <v>90418.0</v>
      </c>
      <c r="B330" s="3" t="s">
        <v>1546</v>
      </c>
      <c r="C330" s="5">
        <v>46161.53717592593</v>
      </c>
      <c r="D330" s="3" t="s">
        <v>727</v>
      </c>
      <c r="E330" s="3" t="s">
        <v>1547</v>
      </c>
      <c r="F330" s="4">
        <v>9.810318565E9</v>
      </c>
      <c r="G330" s="3" t="s">
        <v>50</v>
      </c>
      <c r="H330" s="3" t="s">
        <v>140</v>
      </c>
      <c r="I330" s="3" t="s">
        <v>139</v>
      </c>
      <c r="J330" s="12"/>
      <c r="K330" s="12"/>
    </row>
    <row r="331">
      <c r="A331" s="4">
        <v>90419.0</v>
      </c>
      <c r="B331" s="3" t="s">
        <v>1548</v>
      </c>
      <c r="C331" s="5">
        <v>46161.58719907407</v>
      </c>
      <c r="D331" s="3" t="s">
        <v>724</v>
      </c>
      <c r="E331" s="3" t="s">
        <v>1549</v>
      </c>
      <c r="F331" s="4">
        <v>9.15662927E9</v>
      </c>
      <c r="G331" s="3" t="s">
        <v>50</v>
      </c>
      <c r="H331" s="3" t="s">
        <v>64</v>
      </c>
      <c r="I331" s="3" t="s">
        <v>341</v>
      </c>
      <c r="J331" s="3" t="s">
        <v>47</v>
      </c>
    </row>
    <row r="332">
      <c r="A332" s="4">
        <v>90420.0</v>
      </c>
      <c r="B332" s="3" t="s">
        <v>1550</v>
      </c>
      <c r="C332" s="5">
        <v>46161.59657407407</v>
      </c>
      <c r="D332" s="3" t="s">
        <v>724</v>
      </c>
      <c r="E332" s="3" t="s">
        <v>1551</v>
      </c>
      <c r="F332" s="4">
        <v>9.77126699E9</v>
      </c>
      <c r="G332" s="3" t="s">
        <v>50</v>
      </c>
      <c r="H332" s="3" t="s">
        <v>135</v>
      </c>
      <c r="I332" s="3" t="s">
        <v>136</v>
      </c>
      <c r="J332" s="3" t="s">
        <v>47</v>
      </c>
    </row>
    <row r="333">
      <c r="A333" s="4">
        <v>90421.0</v>
      </c>
      <c r="B333" s="3" t="s">
        <v>1552</v>
      </c>
      <c r="C333" s="5">
        <v>46161.65765046296</v>
      </c>
      <c r="D333" s="3" t="s">
        <v>727</v>
      </c>
      <c r="E333" s="3" t="s">
        <v>1553</v>
      </c>
      <c r="F333" s="4">
        <v>9.840916665E9</v>
      </c>
      <c r="G333" s="3" t="s">
        <v>50</v>
      </c>
      <c r="H333" s="3" t="s">
        <v>112</v>
      </c>
      <c r="I333" s="3" t="s">
        <v>508</v>
      </c>
      <c r="J333" s="3" t="s">
        <v>47</v>
      </c>
    </row>
    <row r="334">
      <c r="A334" s="4">
        <v>90422.0</v>
      </c>
      <c r="B334" s="3" t="s">
        <v>1554</v>
      </c>
      <c r="C334" s="5">
        <v>46161.68929398148</v>
      </c>
      <c r="D334" s="3" t="s">
        <v>724</v>
      </c>
      <c r="E334" s="3" t="s">
        <v>1555</v>
      </c>
      <c r="F334" s="4">
        <v>6.230994155E9</v>
      </c>
      <c r="G334" s="3" t="s">
        <v>50</v>
      </c>
      <c r="H334" s="3" t="s">
        <v>64</v>
      </c>
      <c r="I334" s="3" t="s">
        <v>94</v>
      </c>
      <c r="J334" s="3" t="s">
        <v>47</v>
      </c>
    </row>
    <row r="335">
      <c r="A335" s="4">
        <v>90423.0</v>
      </c>
      <c r="B335" s="3" t="s">
        <v>1556</v>
      </c>
      <c r="C335" s="5">
        <v>46161.73043981481</v>
      </c>
      <c r="D335" s="3" t="s">
        <v>724</v>
      </c>
      <c r="E335" s="3" t="s">
        <v>1557</v>
      </c>
      <c r="F335" s="4">
        <v>9.596011166E9</v>
      </c>
      <c r="G335" s="3" t="s">
        <v>50</v>
      </c>
      <c r="H335" s="3" t="s">
        <v>140</v>
      </c>
      <c r="I335" s="3" t="s">
        <v>139</v>
      </c>
      <c r="J335" s="3" t="s">
        <v>47</v>
      </c>
    </row>
    <row r="336">
      <c r="A336" s="4">
        <v>90424.0</v>
      </c>
      <c r="B336" s="3" t="s">
        <v>1558</v>
      </c>
      <c r="C336" s="5">
        <v>46161.74344907407</v>
      </c>
      <c r="D336" s="3" t="s">
        <v>724</v>
      </c>
      <c r="E336" s="3" t="s">
        <v>1559</v>
      </c>
      <c r="F336" s="4">
        <v>7.48933482E9</v>
      </c>
      <c r="G336" s="3" t="s">
        <v>50</v>
      </c>
      <c r="H336" s="3" t="s">
        <v>157</v>
      </c>
      <c r="I336" s="3" t="s">
        <v>1560</v>
      </c>
      <c r="J336" s="3" t="s">
        <v>47</v>
      </c>
    </row>
    <row r="337">
      <c r="A337" s="4">
        <v>90425.0</v>
      </c>
      <c r="B337" s="3" t="s">
        <v>1561</v>
      </c>
      <c r="C337" s="5">
        <v>46161.80032407407</v>
      </c>
      <c r="D337" s="3" t="s">
        <v>724</v>
      </c>
      <c r="E337" s="3" t="s">
        <v>1562</v>
      </c>
      <c r="F337" s="4">
        <v>9.494228424E9</v>
      </c>
      <c r="G337" s="3" t="s">
        <v>50</v>
      </c>
      <c r="H337" s="3" t="s">
        <v>140</v>
      </c>
      <c r="I337" s="3" t="s">
        <v>139</v>
      </c>
      <c r="J337" s="3" t="s">
        <v>47</v>
      </c>
    </row>
    <row r="338">
      <c r="A338" s="4">
        <v>90426.0</v>
      </c>
      <c r="B338" s="3" t="s">
        <v>1563</v>
      </c>
      <c r="C338" s="5">
        <v>46161.81300925926</v>
      </c>
      <c r="D338" s="3" t="s">
        <v>724</v>
      </c>
      <c r="E338" s="3" t="s">
        <v>1564</v>
      </c>
      <c r="F338" s="4">
        <v>6.206760342E9</v>
      </c>
      <c r="G338" s="3" t="s">
        <v>50</v>
      </c>
      <c r="H338" s="3" t="s">
        <v>162</v>
      </c>
      <c r="I338" s="3" t="s">
        <v>161</v>
      </c>
      <c r="J338" s="3" t="s">
        <v>47</v>
      </c>
    </row>
    <row r="339">
      <c r="A339" s="4">
        <v>90427.0</v>
      </c>
      <c r="B339" s="3" t="s">
        <v>1565</v>
      </c>
      <c r="C339" s="5">
        <v>46161.837233796294</v>
      </c>
      <c r="D339" s="3" t="s">
        <v>724</v>
      </c>
      <c r="E339" s="3" t="s">
        <v>1566</v>
      </c>
      <c r="F339" s="4">
        <v>9.078029197E9</v>
      </c>
      <c r="G339" s="3" t="s">
        <v>50</v>
      </c>
      <c r="H339" s="3" t="s">
        <v>132</v>
      </c>
      <c r="I339" s="3" t="s">
        <v>972</v>
      </c>
      <c r="J339" s="3" t="s">
        <v>47</v>
      </c>
    </row>
    <row r="340">
      <c r="A340" s="4">
        <v>90428.0</v>
      </c>
      <c r="B340" s="3" t="s">
        <v>1567</v>
      </c>
      <c r="C340" s="5">
        <v>46161.90207175926</v>
      </c>
      <c r="D340" s="3" t="s">
        <v>724</v>
      </c>
      <c r="E340" s="3" t="s">
        <v>1568</v>
      </c>
      <c r="F340" s="4">
        <v>9.910698408E9</v>
      </c>
      <c r="G340" s="3" t="s">
        <v>50</v>
      </c>
      <c r="H340" s="3" t="s">
        <v>140</v>
      </c>
      <c r="I340" s="3" t="s">
        <v>139</v>
      </c>
      <c r="J340" s="3" t="s">
        <v>47</v>
      </c>
    </row>
    <row r="341">
      <c r="A341" s="4">
        <v>90429.0</v>
      </c>
      <c r="B341" s="3" t="s">
        <v>1569</v>
      </c>
      <c r="C341" s="5">
        <v>46161.95929398148</v>
      </c>
      <c r="D341" s="3" t="s">
        <v>724</v>
      </c>
      <c r="E341" s="3" t="s">
        <v>1570</v>
      </c>
      <c r="F341" s="4">
        <v>3.522813624E9</v>
      </c>
      <c r="G341" s="3" t="s">
        <v>612</v>
      </c>
      <c r="H341" s="3" t="s">
        <v>611</v>
      </c>
      <c r="I341" s="3" t="s">
        <v>1571</v>
      </c>
      <c r="J341" s="3" t="s">
        <v>47</v>
      </c>
    </row>
    <row r="342">
      <c r="A342" s="4">
        <v>90430.0</v>
      </c>
      <c r="B342" s="3" t="s">
        <v>1572</v>
      </c>
      <c r="C342" s="5">
        <v>46161.97178240741</v>
      </c>
      <c r="D342" s="3" t="s">
        <v>724</v>
      </c>
      <c r="E342" s="3" t="s">
        <v>1573</v>
      </c>
      <c r="F342" s="4">
        <v>9.428597726E9</v>
      </c>
      <c r="G342" s="3" t="s">
        <v>50</v>
      </c>
      <c r="H342" s="3" t="s">
        <v>150</v>
      </c>
      <c r="I342" s="3" t="s">
        <v>548</v>
      </c>
      <c r="J342" s="3" t="s">
        <v>47</v>
      </c>
    </row>
    <row r="343">
      <c r="A343" s="4">
        <v>90431.0</v>
      </c>
      <c r="B343" s="3" t="s">
        <v>1574</v>
      </c>
      <c r="C343" s="5">
        <v>46161.99986111111</v>
      </c>
      <c r="D343" s="3" t="s">
        <v>727</v>
      </c>
      <c r="E343" s="3" t="s">
        <v>1575</v>
      </c>
      <c r="F343" s="4">
        <v>9.235778848E9</v>
      </c>
      <c r="G343" s="3" t="s">
        <v>50</v>
      </c>
      <c r="H343" s="3" t="s">
        <v>54</v>
      </c>
      <c r="I343" s="3" t="s">
        <v>740</v>
      </c>
      <c r="J343" s="3" t="s">
        <v>47</v>
      </c>
    </row>
    <row r="344">
      <c r="A344" s="4">
        <v>90432.0</v>
      </c>
      <c r="B344" s="3" t="s">
        <v>1576</v>
      </c>
      <c r="C344" s="5">
        <v>46162.07041666667</v>
      </c>
      <c r="D344" s="3" t="s">
        <v>724</v>
      </c>
      <c r="E344" s="3" t="s">
        <v>1577</v>
      </c>
      <c r="F344" s="4">
        <v>8.535039989E9</v>
      </c>
      <c r="G344" s="3" t="s">
        <v>50</v>
      </c>
      <c r="H344" s="3" t="s">
        <v>150</v>
      </c>
      <c r="I344" s="3" t="s">
        <v>548</v>
      </c>
      <c r="J344" s="3" t="s">
        <v>47</v>
      </c>
    </row>
    <row r="345">
      <c r="A345" s="4">
        <v>90433.0</v>
      </c>
      <c r="B345" s="3" t="s">
        <v>1578</v>
      </c>
      <c r="C345" s="5">
        <v>46162.38964120371</v>
      </c>
      <c r="D345" s="3" t="s">
        <v>724</v>
      </c>
      <c r="E345" s="3" t="s">
        <v>1579</v>
      </c>
      <c r="F345" s="19">
        <v>1.9844E10</v>
      </c>
      <c r="G345" s="3" t="s">
        <v>612</v>
      </c>
      <c r="H345" s="3" t="s">
        <v>937</v>
      </c>
      <c r="I345" s="3" t="s">
        <v>1510</v>
      </c>
      <c r="J345" s="3" t="s">
        <v>47</v>
      </c>
    </row>
    <row r="346">
      <c r="A346" s="4">
        <v>90434.0</v>
      </c>
      <c r="B346" s="3" t="s">
        <v>1580</v>
      </c>
      <c r="C346" s="5">
        <v>46162.44909722222</v>
      </c>
      <c r="D346" s="3" t="s">
        <v>727</v>
      </c>
      <c r="E346" s="3" t="s">
        <v>1581</v>
      </c>
      <c r="F346" s="4">
        <v>9.940302421E9</v>
      </c>
      <c r="G346" s="3" t="s">
        <v>50</v>
      </c>
      <c r="H346" s="3" t="s">
        <v>112</v>
      </c>
      <c r="I346" s="3" t="s">
        <v>508</v>
      </c>
      <c r="J346" s="3" t="s">
        <v>47</v>
      </c>
    </row>
    <row r="347">
      <c r="A347" s="4">
        <v>90435.0</v>
      </c>
      <c r="B347" s="3" t="s">
        <v>1582</v>
      </c>
      <c r="C347" s="5">
        <v>46162.53873842592</v>
      </c>
      <c r="D347" s="3" t="s">
        <v>724</v>
      </c>
      <c r="E347" s="3" t="s">
        <v>1583</v>
      </c>
      <c r="F347" s="4">
        <v>4.152641877E9</v>
      </c>
      <c r="G347" s="3" t="s">
        <v>612</v>
      </c>
      <c r="H347" s="3" t="s">
        <v>937</v>
      </c>
      <c r="I347" s="3" t="s">
        <v>1584</v>
      </c>
      <c r="J347" s="3" t="s">
        <v>47</v>
      </c>
    </row>
    <row r="348">
      <c r="A348" s="4">
        <v>90436.0</v>
      </c>
      <c r="B348" s="3" t="s">
        <v>1585</v>
      </c>
      <c r="C348" s="5">
        <v>46162.68329861111</v>
      </c>
      <c r="D348" s="3" t="s">
        <v>724</v>
      </c>
      <c r="E348" s="3" t="s">
        <v>1586</v>
      </c>
      <c r="F348" s="4">
        <v>8.826661696E9</v>
      </c>
      <c r="G348" s="3" t="s">
        <v>50</v>
      </c>
      <c r="H348" s="3" t="s">
        <v>117</v>
      </c>
      <c r="I348" s="3" t="s">
        <v>1454</v>
      </c>
      <c r="J348" s="3" t="s">
        <v>47</v>
      </c>
    </row>
    <row r="349">
      <c r="A349" s="4">
        <v>90437.0</v>
      </c>
      <c r="B349" s="3" t="s">
        <v>1587</v>
      </c>
      <c r="C349" s="5">
        <v>46162.71890046296</v>
      </c>
      <c r="D349" s="3" t="s">
        <v>724</v>
      </c>
      <c r="E349" s="3" t="s">
        <v>1588</v>
      </c>
      <c r="F349" s="4">
        <v>9.042984274E9</v>
      </c>
      <c r="G349" s="3" t="s">
        <v>50</v>
      </c>
      <c r="H349" s="3" t="s">
        <v>112</v>
      </c>
      <c r="I349" s="3" t="s">
        <v>508</v>
      </c>
      <c r="J349" s="3" t="s">
        <v>47</v>
      </c>
    </row>
    <row r="350">
      <c r="A350" s="4">
        <v>90438.0</v>
      </c>
      <c r="B350" s="3" t="s">
        <v>1589</v>
      </c>
      <c r="C350" s="5">
        <v>46162.75449074074</v>
      </c>
      <c r="D350" s="3" t="s">
        <v>724</v>
      </c>
      <c r="E350" s="3" t="s">
        <v>1590</v>
      </c>
      <c r="F350" s="4">
        <v>8.638384955E9</v>
      </c>
      <c r="G350" s="3" t="s">
        <v>50</v>
      </c>
      <c r="H350" s="3" t="s">
        <v>424</v>
      </c>
      <c r="I350" s="3" t="s">
        <v>1591</v>
      </c>
      <c r="J350" s="3" t="s">
        <v>47</v>
      </c>
    </row>
    <row r="351">
      <c r="A351" s="4">
        <v>90439.0</v>
      </c>
      <c r="B351" s="3" t="s">
        <v>1592</v>
      </c>
      <c r="C351" s="5">
        <v>46162.775868055556</v>
      </c>
      <c r="D351" s="3" t="s">
        <v>727</v>
      </c>
      <c r="E351" s="3" t="s">
        <v>1593</v>
      </c>
      <c r="F351" s="4">
        <v>8.001079868E9</v>
      </c>
      <c r="G351" s="3" t="s">
        <v>50</v>
      </c>
      <c r="H351" s="3" t="s">
        <v>54</v>
      </c>
      <c r="I351" s="3" t="s">
        <v>740</v>
      </c>
      <c r="J351" s="3" t="s">
        <v>47</v>
      </c>
    </row>
    <row r="352">
      <c r="A352" s="4">
        <v>90440.0</v>
      </c>
      <c r="B352" s="3" t="s">
        <v>1594</v>
      </c>
      <c r="C352" s="5">
        <v>46162.77775462963</v>
      </c>
      <c r="D352" s="3" t="s">
        <v>724</v>
      </c>
      <c r="E352" s="3" t="s">
        <v>1595</v>
      </c>
      <c r="F352" s="4">
        <v>9.321710205E9</v>
      </c>
      <c r="G352" s="3" t="s">
        <v>50</v>
      </c>
      <c r="H352" s="3" t="s">
        <v>162</v>
      </c>
      <c r="I352" s="3" t="s">
        <v>1596</v>
      </c>
      <c r="J352" s="3" t="s">
        <v>47</v>
      </c>
    </row>
    <row r="353">
      <c r="A353" s="4">
        <v>90441.0</v>
      </c>
      <c r="B353" s="3" t="s">
        <v>1597</v>
      </c>
      <c r="C353" s="5">
        <v>46162.78476851852</v>
      </c>
      <c r="D353" s="3" t="s">
        <v>724</v>
      </c>
      <c r="E353" s="3" t="s">
        <v>1598</v>
      </c>
      <c r="F353" s="4">
        <v>8.886542228E9</v>
      </c>
      <c r="G353" s="3" t="s">
        <v>50</v>
      </c>
      <c r="H353" s="3" t="s">
        <v>49</v>
      </c>
      <c r="I353" s="3" t="s">
        <v>1599</v>
      </c>
      <c r="J353" s="3" t="s">
        <v>47</v>
      </c>
    </row>
    <row r="354">
      <c r="A354" s="4">
        <v>90442.0</v>
      </c>
      <c r="B354" s="3" t="s">
        <v>1600</v>
      </c>
      <c r="C354" s="5">
        <v>46162.83802083333</v>
      </c>
      <c r="D354" s="3" t="s">
        <v>724</v>
      </c>
      <c r="E354" s="3" t="s">
        <v>1601</v>
      </c>
      <c r="F354" s="4">
        <v>9.361906998E9</v>
      </c>
      <c r="G354" s="3" t="s">
        <v>50</v>
      </c>
      <c r="H354" s="3" t="s">
        <v>112</v>
      </c>
      <c r="I354" s="3" t="s">
        <v>278</v>
      </c>
      <c r="J354" s="3" t="s">
        <v>47</v>
      </c>
    </row>
    <row r="355">
      <c r="A355" s="4">
        <v>90443.0</v>
      </c>
      <c r="B355" s="3" t="s">
        <v>1602</v>
      </c>
      <c r="C355" s="5">
        <v>46162.886608796296</v>
      </c>
      <c r="D355" s="3" t="s">
        <v>724</v>
      </c>
      <c r="E355" s="3" t="s">
        <v>1603</v>
      </c>
      <c r="F355" s="4">
        <v>9.148520139E9</v>
      </c>
      <c r="G355" s="3" t="s">
        <v>50</v>
      </c>
      <c r="H355" s="3" t="s">
        <v>162</v>
      </c>
      <c r="I355" s="3" t="s">
        <v>161</v>
      </c>
      <c r="J355" s="3" t="s">
        <v>47</v>
      </c>
    </row>
    <row r="356">
      <c r="A356" s="4">
        <v>90444.0</v>
      </c>
      <c r="B356" s="3" t="s">
        <v>1604</v>
      </c>
      <c r="C356" s="5">
        <v>46163.04516203704</v>
      </c>
      <c r="D356" s="3" t="s">
        <v>724</v>
      </c>
      <c r="E356" s="3" t="s">
        <v>1605</v>
      </c>
      <c r="F356" s="4">
        <v>4.699434872E9</v>
      </c>
      <c r="G356" s="3" t="s">
        <v>612</v>
      </c>
      <c r="H356" s="3" t="s">
        <v>813</v>
      </c>
      <c r="I356" s="3" t="s">
        <v>1606</v>
      </c>
      <c r="J356" s="3" t="s">
        <v>47</v>
      </c>
    </row>
    <row r="357">
      <c r="A357" s="4">
        <v>90445.0</v>
      </c>
      <c r="B357" s="3" t="s">
        <v>1607</v>
      </c>
      <c r="C357" s="5">
        <v>46163.4434837963</v>
      </c>
      <c r="D357" s="3" t="s">
        <v>724</v>
      </c>
      <c r="E357" s="3" t="s">
        <v>1608</v>
      </c>
      <c r="F357" s="4">
        <v>9.68692038E9</v>
      </c>
      <c r="G357" s="3" t="s">
        <v>50</v>
      </c>
      <c r="H357" s="3" t="s">
        <v>162</v>
      </c>
      <c r="I357" s="3" t="s">
        <v>161</v>
      </c>
      <c r="J357" s="3" t="s">
        <v>47</v>
      </c>
    </row>
    <row r="358">
      <c r="A358" s="4">
        <v>90446.0</v>
      </c>
      <c r="B358" s="3" t="s">
        <v>1609</v>
      </c>
      <c r="C358" s="5">
        <v>46163.51666666667</v>
      </c>
      <c r="D358" s="3" t="s">
        <v>724</v>
      </c>
      <c r="E358" s="3" t="s">
        <v>1610</v>
      </c>
      <c r="F358" s="4">
        <v>6.37414675E9</v>
      </c>
      <c r="G358" s="3" t="s">
        <v>50</v>
      </c>
      <c r="H358" s="3" t="s">
        <v>112</v>
      </c>
      <c r="I358" s="3" t="s">
        <v>508</v>
      </c>
      <c r="J358" s="3" t="s">
        <v>47</v>
      </c>
    </row>
    <row r="359">
      <c r="A359" s="4">
        <v>90447.0</v>
      </c>
      <c r="B359" s="3" t="s">
        <v>1611</v>
      </c>
      <c r="C359" s="5">
        <v>46163.63302083333</v>
      </c>
      <c r="D359" s="3" t="s">
        <v>727</v>
      </c>
      <c r="E359" s="3" t="s">
        <v>1612</v>
      </c>
      <c r="F359" s="4">
        <v>9.479938799E9</v>
      </c>
      <c r="G359" s="3" t="s">
        <v>50</v>
      </c>
      <c r="H359" s="3" t="s">
        <v>157</v>
      </c>
      <c r="I359" s="3" t="s">
        <v>1613</v>
      </c>
      <c r="J359" s="3" t="s">
        <v>47</v>
      </c>
    </row>
    <row r="360">
      <c r="A360" s="4">
        <v>90448.0</v>
      </c>
      <c r="B360" s="3" t="s">
        <v>1614</v>
      </c>
      <c r="C360" s="5">
        <v>46163.65211805556</v>
      </c>
      <c r="D360" s="3" t="s">
        <v>724</v>
      </c>
      <c r="E360" s="3" t="s">
        <v>1615</v>
      </c>
      <c r="F360" s="4">
        <v>9.582055368E9</v>
      </c>
      <c r="G360" s="3" t="s">
        <v>50</v>
      </c>
      <c r="H360" s="3" t="s">
        <v>140</v>
      </c>
      <c r="I360" s="3" t="s">
        <v>139</v>
      </c>
      <c r="J360" s="3" t="s">
        <v>47</v>
      </c>
    </row>
    <row r="361">
      <c r="A361" s="4">
        <v>90449.0</v>
      </c>
      <c r="B361" s="3" t="s">
        <v>1616</v>
      </c>
      <c r="C361" s="5">
        <v>46163.66400462963</v>
      </c>
      <c r="D361" s="3" t="s">
        <v>724</v>
      </c>
      <c r="E361" s="3" t="s">
        <v>1617</v>
      </c>
      <c r="F361" s="4">
        <v>9.259092295E9</v>
      </c>
      <c r="G361" s="3" t="s">
        <v>50</v>
      </c>
      <c r="H361" s="3" t="s">
        <v>54</v>
      </c>
      <c r="I361" s="3" t="s">
        <v>1618</v>
      </c>
      <c r="J361" s="3" t="s">
        <v>47</v>
      </c>
    </row>
    <row r="362">
      <c r="A362" s="4">
        <v>90450.0</v>
      </c>
      <c r="B362" s="3" t="s">
        <v>1619</v>
      </c>
      <c r="C362" s="5">
        <v>46163.67077546296</v>
      </c>
      <c r="D362" s="3" t="s">
        <v>724</v>
      </c>
      <c r="E362" s="3" t="s">
        <v>1620</v>
      </c>
      <c r="F362" s="4">
        <v>9.916355317E9</v>
      </c>
      <c r="G362" s="3" t="s">
        <v>50</v>
      </c>
      <c r="H362" s="3" t="s">
        <v>64</v>
      </c>
      <c r="I362" s="3" t="s">
        <v>84</v>
      </c>
      <c r="J362" s="3" t="s">
        <v>47</v>
      </c>
    </row>
    <row r="363">
      <c r="A363" s="4">
        <v>90451.0</v>
      </c>
      <c r="B363" s="3" t="s">
        <v>1621</v>
      </c>
      <c r="C363" s="5">
        <v>46163.747824074075</v>
      </c>
      <c r="D363" s="3" t="s">
        <v>724</v>
      </c>
      <c r="E363" s="3" t="s">
        <v>1622</v>
      </c>
      <c r="F363" s="4">
        <v>9.994907199E9</v>
      </c>
      <c r="G363" s="3" t="s">
        <v>50</v>
      </c>
      <c r="H363" s="3" t="s">
        <v>64</v>
      </c>
      <c r="I363" s="3" t="s">
        <v>94</v>
      </c>
      <c r="J363" s="3" t="s">
        <v>47</v>
      </c>
    </row>
    <row r="364">
      <c r="A364" s="4">
        <v>90452.0</v>
      </c>
      <c r="B364" s="3" t="s">
        <v>1623</v>
      </c>
      <c r="C364" s="5">
        <v>46163.751979166664</v>
      </c>
      <c r="D364" s="3" t="s">
        <v>724</v>
      </c>
      <c r="E364" s="3" t="s">
        <v>1624</v>
      </c>
      <c r="F364" s="19">
        <v>9.186E11</v>
      </c>
      <c r="G364" s="3" t="s">
        <v>50</v>
      </c>
      <c r="H364" s="3" t="s">
        <v>140</v>
      </c>
      <c r="I364" s="3" t="s">
        <v>139</v>
      </c>
      <c r="J364" s="3" t="s">
        <v>47</v>
      </c>
    </row>
    <row r="365">
      <c r="A365" s="4">
        <v>90453.0</v>
      </c>
      <c r="B365" s="3" t="s">
        <v>1625</v>
      </c>
      <c r="C365" s="5">
        <v>46163.79112268519</v>
      </c>
      <c r="D365" s="3" t="s">
        <v>724</v>
      </c>
      <c r="E365" s="3" t="s">
        <v>1626</v>
      </c>
      <c r="F365" s="4">
        <v>9.731378415E9</v>
      </c>
      <c r="G365" s="3" t="s">
        <v>50</v>
      </c>
      <c r="H365" s="3" t="s">
        <v>162</v>
      </c>
      <c r="I365" s="3" t="s">
        <v>161</v>
      </c>
      <c r="J365" s="3" t="s">
        <v>47</v>
      </c>
    </row>
    <row r="366">
      <c r="A366" s="4">
        <v>90454.0</v>
      </c>
      <c r="B366" s="3" t="s">
        <v>1627</v>
      </c>
      <c r="C366" s="5">
        <v>46163.7928125</v>
      </c>
      <c r="D366" s="3" t="s">
        <v>724</v>
      </c>
      <c r="E366" s="3" t="s">
        <v>1628</v>
      </c>
      <c r="F366" s="4">
        <v>9.986241274E9</v>
      </c>
      <c r="G366" s="3" t="s">
        <v>50</v>
      </c>
      <c r="H366" s="3" t="s">
        <v>162</v>
      </c>
      <c r="I366" s="3" t="s">
        <v>161</v>
      </c>
      <c r="J366" s="3" t="s">
        <v>47</v>
      </c>
    </row>
    <row r="367">
      <c r="A367" s="4">
        <v>90455.0</v>
      </c>
      <c r="B367" s="3" t="s">
        <v>1629</v>
      </c>
      <c r="C367" s="5">
        <v>46163.86568287037</v>
      </c>
      <c r="D367" s="3" t="s">
        <v>724</v>
      </c>
      <c r="E367" s="3" t="s">
        <v>1630</v>
      </c>
      <c r="F367" s="4">
        <v>9.810835105E9</v>
      </c>
      <c r="G367" s="3" t="s">
        <v>50</v>
      </c>
      <c r="H367" s="3" t="s">
        <v>140</v>
      </c>
      <c r="I367" s="3" t="s">
        <v>139</v>
      </c>
      <c r="J367" s="3" t="s">
        <v>47</v>
      </c>
    </row>
    <row r="368">
      <c r="A368" s="4">
        <v>90456.0</v>
      </c>
      <c r="B368" s="3" t="s">
        <v>1631</v>
      </c>
      <c r="C368" s="5">
        <v>46163.89811342592</v>
      </c>
      <c r="D368" s="3" t="s">
        <v>724</v>
      </c>
      <c r="E368" s="3" t="s">
        <v>1632</v>
      </c>
      <c r="F368" s="4">
        <v>6.26687255E9</v>
      </c>
      <c r="G368" s="3" t="s">
        <v>50</v>
      </c>
      <c r="H368" s="3" t="s">
        <v>157</v>
      </c>
      <c r="I368" s="3" t="s">
        <v>156</v>
      </c>
      <c r="J368" s="3" t="s">
        <v>47</v>
      </c>
    </row>
    <row r="369">
      <c r="A369" s="4">
        <v>90457.0</v>
      </c>
      <c r="B369" s="3" t="s">
        <v>1633</v>
      </c>
      <c r="C369" s="5">
        <v>46163.899305555555</v>
      </c>
      <c r="D369" s="3" t="s">
        <v>724</v>
      </c>
      <c r="E369" s="3" t="s">
        <v>1634</v>
      </c>
      <c r="F369" s="4">
        <v>8.885316647E9</v>
      </c>
      <c r="G369" s="3" t="s">
        <v>50</v>
      </c>
      <c r="H369" s="3" t="s">
        <v>750</v>
      </c>
      <c r="I369" s="3" t="s">
        <v>1635</v>
      </c>
      <c r="J369" s="3" t="s">
        <v>47</v>
      </c>
    </row>
    <row r="370">
      <c r="A370" s="4">
        <v>90458.0</v>
      </c>
      <c r="B370" s="3" t="s">
        <v>1636</v>
      </c>
      <c r="C370" s="5">
        <v>46163.91359953704</v>
      </c>
      <c r="D370" s="3" t="s">
        <v>724</v>
      </c>
      <c r="E370" s="3" t="s">
        <v>1637</v>
      </c>
      <c r="F370" s="4">
        <v>7.483310493E9</v>
      </c>
      <c r="G370" s="3" t="s">
        <v>50</v>
      </c>
      <c r="H370" s="3" t="s">
        <v>162</v>
      </c>
      <c r="I370" s="3" t="s">
        <v>1638</v>
      </c>
      <c r="J370" s="3" t="s">
        <v>47</v>
      </c>
    </row>
    <row r="371">
      <c r="A371" s="4">
        <v>90459.0</v>
      </c>
      <c r="B371" s="3" t="s">
        <v>1639</v>
      </c>
      <c r="C371" s="5">
        <v>46163.93216435185</v>
      </c>
      <c r="D371" s="3" t="s">
        <v>724</v>
      </c>
      <c r="E371" s="3" t="s">
        <v>1640</v>
      </c>
      <c r="F371" s="4">
        <v>6.261822351E9</v>
      </c>
      <c r="G371" s="3" t="s">
        <v>50</v>
      </c>
      <c r="H371" s="3" t="s">
        <v>217</v>
      </c>
      <c r="I371" s="3" t="s">
        <v>216</v>
      </c>
      <c r="J371" s="3" t="s">
        <v>47</v>
      </c>
    </row>
    <row r="372">
      <c r="A372" s="4">
        <v>90460.0</v>
      </c>
      <c r="B372" s="3" t="s">
        <v>1641</v>
      </c>
      <c r="C372" s="5">
        <v>46163.93832175926</v>
      </c>
      <c r="D372" s="3" t="s">
        <v>724</v>
      </c>
      <c r="E372" s="3" t="s">
        <v>1642</v>
      </c>
      <c r="F372" s="4">
        <v>7.449281055E9</v>
      </c>
      <c r="G372" s="3" t="s">
        <v>50</v>
      </c>
      <c r="H372" s="3" t="s">
        <v>112</v>
      </c>
      <c r="I372" s="3" t="s">
        <v>827</v>
      </c>
      <c r="J372" s="12"/>
      <c r="K372" s="12"/>
    </row>
    <row r="373">
      <c r="A373" s="4">
        <v>90461.0</v>
      </c>
      <c r="B373" s="3" t="s">
        <v>1643</v>
      </c>
      <c r="C373" s="5">
        <v>46163.9425462963</v>
      </c>
      <c r="D373" s="3" t="s">
        <v>727</v>
      </c>
      <c r="E373" s="3" t="s">
        <v>1644</v>
      </c>
      <c r="F373" s="4">
        <v>9.45347141E9</v>
      </c>
      <c r="G373" s="3" t="s">
        <v>50</v>
      </c>
      <c r="H373" s="3" t="s">
        <v>54</v>
      </c>
      <c r="I373" s="3" t="s">
        <v>1618</v>
      </c>
      <c r="J373" s="3" t="s">
        <v>47</v>
      </c>
    </row>
    <row r="374">
      <c r="A374" s="4">
        <v>90462.0</v>
      </c>
      <c r="B374" s="3" t="s">
        <v>1645</v>
      </c>
      <c r="C374" s="5">
        <v>46163.956770833334</v>
      </c>
      <c r="D374" s="3" t="s">
        <v>727</v>
      </c>
      <c r="E374" s="3" t="s">
        <v>1646</v>
      </c>
      <c r="F374" s="4">
        <v>8.766367054E9</v>
      </c>
      <c r="G374" s="3" t="s">
        <v>50</v>
      </c>
      <c r="H374" s="3" t="s">
        <v>140</v>
      </c>
      <c r="I374" s="3" t="s">
        <v>139</v>
      </c>
      <c r="J374" s="3" t="s">
        <v>47</v>
      </c>
    </row>
    <row r="375">
      <c r="A375" s="4">
        <v>90467.0</v>
      </c>
      <c r="B375" s="3" t="s">
        <v>1647</v>
      </c>
      <c r="C375" s="5">
        <v>46164.09428240741</v>
      </c>
      <c r="D375" s="3" t="s">
        <v>724</v>
      </c>
      <c r="E375" s="3" t="s">
        <v>1648</v>
      </c>
      <c r="F375" s="19">
        <v>1.9453E10</v>
      </c>
      <c r="G375" s="3" t="s">
        <v>612</v>
      </c>
      <c r="H375" s="3" t="s">
        <v>937</v>
      </c>
      <c r="I375" s="3" t="s">
        <v>1649</v>
      </c>
      <c r="J375" s="3" t="s">
        <v>47</v>
      </c>
    </row>
    <row r="376">
      <c r="A376" s="4">
        <v>90468.0</v>
      </c>
      <c r="B376" s="3" t="s">
        <v>1650</v>
      </c>
      <c r="C376" s="5">
        <v>46164.11929398148</v>
      </c>
      <c r="D376" s="3" t="s">
        <v>727</v>
      </c>
      <c r="E376" s="3" t="s">
        <v>1651</v>
      </c>
      <c r="F376" s="4">
        <v>9.473893879E9</v>
      </c>
      <c r="G376" s="3" t="s">
        <v>50</v>
      </c>
      <c r="H376" s="3" t="s">
        <v>54</v>
      </c>
      <c r="I376" s="3" t="s">
        <v>398</v>
      </c>
      <c r="J376" s="3" t="s">
        <v>47</v>
      </c>
    </row>
    <row r="377">
      <c r="A377" s="4">
        <v>90469.0</v>
      </c>
      <c r="B377" s="3" t="s">
        <v>1652</v>
      </c>
      <c r="C377" s="5">
        <v>46164.384351851855</v>
      </c>
      <c r="D377" s="3" t="s">
        <v>724</v>
      </c>
      <c r="E377" s="3" t="s">
        <v>1653</v>
      </c>
      <c r="F377" s="4">
        <v>9.953632474E9</v>
      </c>
      <c r="G377" s="3" t="s">
        <v>50</v>
      </c>
      <c r="H377" s="3" t="s">
        <v>188</v>
      </c>
      <c r="I377" s="3" t="s">
        <v>900</v>
      </c>
      <c r="J377" s="3" t="s">
        <v>47</v>
      </c>
    </row>
    <row r="378">
      <c r="A378" s="4">
        <v>90470.0</v>
      </c>
      <c r="B378" s="3" t="s">
        <v>1654</v>
      </c>
      <c r="C378" s="5">
        <v>46164.39865740741</v>
      </c>
      <c r="D378" s="3" t="s">
        <v>724</v>
      </c>
      <c r="E378" s="3" t="s">
        <v>1655</v>
      </c>
      <c r="F378" s="4">
        <v>9.884618556E9</v>
      </c>
      <c r="G378" s="3" t="s">
        <v>50</v>
      </c>
      <c r="H378" s="3" t="s">
        <v>112</v>
      </c>
      <c r="I378" s="3" t="s">
        <v>508</v>
      </c>
      <c r="J378" s="3" t="s">
        <v>47</v>
      </c>
    </row>
    <row r="379">
      <c r="A379" s="4">
        <v>90471.0</v>
      </c>
      <c r="B379" s="3" t="s">
        <v>1656</v>
      </c>
      <c r="C379" s="5">
        <v>46164.40415509259</v>
      </c>
      <c r="D379" s="3" t="s">
        <v>727</v>
      </c>
      <c r="E379" s="3" t="s">
        <v>1657</v>
      </c>
      <c r="F379" s="4">
        <v>2.177212584E9</v>
      </c>
      <c r="G379" s="3" t="s">
        <v>612</v>
      </c>
      <c r="H379" s="3" t="s">
        <v>937</v>
      </c>
      <c r="I379" s="3" t="s">
        <v>1649</v>
      </c>
      <c r="J379" s="3" t="s">
        <v>47</v>
      </c>
    </row>
    <row r="380">
      <c r="A380" s="4">
        <v>90472.0</v>
      </c>
      <c r="B380" s="3" t="s">
        <v>1658</v>
      </c>
      <c r="C380" s="5">
        <v>46164.41925925926</v>
      </c>
      <c r="D380" s="3" t="s">
        <v>727</v>
      </c>
      <c r="E380" s="3" t="s">
        <v>1659</v>
      </c>
      <c r="F380" s="4">
        <v>9.903517258E9</v>
      </c>
      <c r="G380" s="3" t="s">
        <v>50</v>
      </c>
      <c r="H380" s="3" t="s">
        <v>132</v>
      </c>
      <c r="I380" s="3" t="s">
        <v>972</v>
      </c>
      <c r="J380" s="3" t="s">
        <v>47</v>
      </c>
    </row>
    <row r="381">
      <c r="A381" s="4">
        <v>90473.0</v>
      </c>
      <c r="B381" s="3" t="s">
        <v>1660</v>
      </c>
      <c r="C381" s="5">
        <v>46164.43785879629</v>
      </c>
      <c r="D381" s="3" t="s">
        <v>727</v>
      </c>
      <c r="E381" s="3" t="s">
        <v>1661</v>
      </c>
      <c r="F381" s="4">
        <v>9.001771262E9</v>
      </c>
      <c r="G381" s="3" t="s">
        <v>50</v>
      </c>
      <c r="H381" s="3" t="s">
        <v>64</v>
      </c>
      <c r="I381" s="3" t="s">
        <v>307</v>
      </c>
      <c r="J381" s="3" t="s">
        <v>47</v>
      </c>
    </row>
    <row r="382">
      <c r="A382" s="4">
        <v>90474.0</v>
      </c>
      <c r="B382" s="3" t="s">
        <v>1662</v>
      </c>
      <c r="C382" s="5">
        <v>46164.50451388889</v>
      </c>
      <c r="D382" s="3" t="s">
        <v>727</v>
      </c>
      <c r="E382" s="3" t="s">
        <v>1663</v>
      </c>
      <c r="F382" s="4">
        <v>7.987707206E9</v>
      </c>
      <c r="G382" s="3" t="s">
        <v>50</v>
      </c>
      <c r="H382" s="3" t="s">
        <v>117</v>
      </c>
      <c r="I382" s="3" t="s">
        <v>1664</v>
      </c>
      <c r="J382" s="3" t="s">
        <v>47</v>
      </c>
    </row>
    <row r="383">
      <c r="A383" s="4">
        <v>90475.0</v>
      </c>
      <c r="B383" s="3" t="s">
        <v>1665</v>
      </c>
      <c r="C383" s="5">
        <v>46164.50822916667</v>
      </c>
      <c r="D383" s="3" t="s">
        <v>724</v>
      </c>
      <c r="E383" s="3" t="s">
        <v>1666</v>
      </c>
      <c r="F383" s="4">
        <v>9.149890335E9</v>
      </c>
      <c r="G383" s="3" t="s">
        <v>50</v>
      </c>
      <c r="H383" s="3" t="s">
        <v>150</v>
      </c>
      <c r="I383" s="3" t="s">
        <v>548</v>
      </c>
      <c r="J383" s="3" t="s">
        <v>47</v>
      </c>
    </row>
    <row r="384">
      <c r="A384" s="4">
        <v>90476.0</v>
      </c>
      <c r="B384" s="3" t="s">
        <v>1667</v>
      </c>
      <c r="C384" s="5">
        <v>46164.54263888889</v>
      </c>
      <c r="D384" s="3" t="s">
        <v>724</v>
      </c>
      <c r="E384" s="3" t="s">
        <v>1668</v>
      </c>
      <c r="F384" s="19">
        <v>9.7153E11</v>
      </c>
      <c r="G384" s="3" t="s">
        <v>273</v>
      </c>
      <c r="H384" s="3" t="s">
        <v>272</v>
      </c>
      <c r="I384" s="3" t="s">
        <v>1669</v>
      </c>
      <c r="J384" s="3" t="s">
        <v>47</v>
      </c>
    </row>
    <row r="385">
      <c r="A385" s="4">
        <v>90477.0</v>
      </c>
      <c r="B385" s="3" t="s">
        <v>1670</v>
      </c>
      <c r="C385" s="5">
        <v>46164.62568287037</v>
      </c>
      <c r="D385" s="3" t="s">
        <v>727</v>
      </c>
      <c r="E385" s="3" t="s">
        <v>1671</v>
      </c>
      <c r="F385" s="4">
        <v>7.404905319E9</v>
      </c>
      <c r="G385" s="3" t="s">
        <v>50</v>
      </c>
      <c r="H385" s="3" t="s">
        <v>117</v>
      </c>
      <c r="I385" s="3" t="s">
        <v>538</v>
      </c>
      <c r="J385" s="3" t="s">
        <v>47</v>
      </c>
    </row>
    <row r="386">
      <c r="A386" s="4">
        <v>90478.0</v>
      </c>
      <c r="B386" s="3" t="s">
        <v>1672</v>
      </c>
      <c r="C386" s="5">
        <v>46164.7130787037</v>
      </c>
      <c r="D386" s="3" t="s">
        <v>724</v>
      </c>
      <c r="E386" s="3" t="s">
        <v>1673</v>
      </c>
      <c r="F386" s="4">
        <v>9.550705907E9</v>
      </c>
      <c r="G386" s="3" t="s">
        <v>50</v>
      </c>
      <c r="H386" s="3" t="s">
        <v>100</v>
      </c>
      <c r="I386" s="3" t="s">
        <v>99</v>
      </c>
      <c r="J386" s="3" t="s">
        <v>47</v>
      </c>
    </row>
    <row r="387">
      <c r="A387" s="4">
        <v>90479.0</v>
      </c>
      <c r="B387" s="3" t="s">
        <v>1674</v>
      </c>
      <c r="C387" s="5">
        <v>46164.90608796296</v>
      </c>
      <c r="E387" s="3" t="s">
        <v>1675</v>
      </c>
      <c r="F387" s="4">
        <v>8.887826421E9</v>
      </c>
      <c r="G387" s="12"/>
      <c r="H387" s="12"/>
      <c r="I387" s="12"/>
      <c r="J387" s="3" t="s">
        <v>1676</v>
      </c>
    </row>
    <row r="388">
      <c r="A388" s="4">
        <v>90480.0</v>
      </c>
      <c r="B388" s="3" t="s">
        <v>1677</v>
      </c>
      <c r="C388" s="5">
        <v>46164.95790509259</v>
      </c>
      <c r="D388" s="3" t="s">
        <v>727</v>
      </c>
      <c r="E388" s="3" t="s">
        <v>1678</v>
      </c>
      <c r="F388" s="4">
        <v>9.921959099E9</v>
      </c>
      <c r="G388" s="3" t="s">
        <v>50</v>
      </c>
      <c r="H388" s="3" t="s">
        <v>1679</v>
      </c>
      <c r="I388" s="3" t="s">
        <v>1680</v>
      </c>
      <c r="J388" s="3" t="s">
        <v>47</v>
      </c>
    </row>
    <row r="389">
      <c r="A389" s="4">
        <v>90481.0</v>
      </c>
      <c r="B389" s="3" t="s">
        <v>1681</v>
      </c>
      <c r="C389" s="5">
        <v>46164.990960648145</v>
      </c>
      <c r="D389" s="3" t="s">
        <v>724</v>
      </c>
      <c r="E389" s="3" t="s">
        <v>1682</v>
      </c>
      <c r="F389" s="4">
        <v>9.480331073E9</v>
      </c>
      <c r="G389" s="3" t="s">
        <v>50</v>
      </c>
      <c r="H389" s="3" t="s">
        <v>162</v>
      </c>
      <c r="I389" s="3" t="s">
        <v>161</v>
      </c>
      <c r="J389" s="12"/>
      <c r="K389" s="12"/>
    </row>
    <row r="390">
      <c r="A390" s="4">
        <v>90482.0</v>
      </c>
      <c r="B390" s="3" t="s">
        <v>1683</v>
      </c>
      <c r="C390" s="5">
        <v>46165.0115625</v>
      </c>
      <c r="D390" s="3" t="s">
        <v>727</v>
      </c>
      <c r="E390" s="3" t="s">
        <v>1684</v>
      </c>
      <c r="F390" s="4">
        <v>9.768427848E9</v>
      </c>
      <c r="G390" s="3" t="s">
        <v>50</v>
      </c>
      <c r="H390" s="3" t="s">
        <v>64</v>
      </c>
      <c r="I390" s="3" t="s">
        <v>1685</v>
      </c>
      <c r="J390" s="3" t="s">
        <v>47</v>
      </c>
    </row>
    <row r="391">
      <c r="A391" s="4">
        <v>90483.0</v>
      </c>
      <c r="B391" s="3" t="s">
        <v>1686</v>
      </c>
      <c r="C391" s="5">
        <v>46165.02974537037</v>
      </c>
      <c r="D391" s="3" t="s">
        <v>724</v>
      </c>
      <c r="E391" s="3" t="s">
        <v>1687</v>
      </c>
      <c r="F391" s="4">
        <v>9.478898721E9</v>
      </c>
      <c r="G391" s="3" t="s">
        <v>50</v>
      </c>
      <c r="H391" s="3" t="s">
        <v>49</v>
      </c>
      <c r="I391" s="3" t="s">
        <v>1688</v>
      </c>
      <c r="J391" s="3" t="s">
        <v>47</v>
      </c>
    </row>
    <row r="392">
      <c r="A392" s="4">
        <v>90484.0</v>
      </c>
      <c r="B392" s="3" t="s">
        <v>1689</v>
      </c>
      <c r="C392" s="5">
        <v>46165.09473379629</v>
      </c>
      <c r="D392" s="3" t="s">
        <v>727</v>
      </c>
      <c r="E392" s="3" t="s">
        <v>1690</v>
      </c>
      <c r="F392" s="4">
        <v>9.810648597E9</v>
      </c>
      <c r="G392" s="3" t="s">
        <v>50</v>
      </c>
      <c r="H392" s="3" t="s">
        <v>140</v>
      </c>
      <c r="I392" s="3" t="s">
        <v>139</v>
      </c>
      <c r="J392" s="3" t="s">
        <v>47</v>
      </c>
    </row>
    <row r="393">
      <c r="A393" s="4">
        <v>90485.0</v>
      </c>
      <c r="B393" s="3" t="s">
        <v>1691</v>
      </c>
      <c r="C393" s="5">
        <v>46165.13056712963</v>
      </c>
      <c r="D393" s="3" t="s">
        <v>727</v>
      </c>
      <c r="E393" s="3" t="s">
        <v>1692</v>
      </c>
      <c r="F393" s="19">
        <v>3.1621E10</v>
      </c>
      <c r="G393" s="3" t="s">
        <v>1233</v>
      </c>
      <c r="H393" s="3" t="s">
        <v>1235</v>
      </c>
      <c r="I393" s="3" t="s">
        <v>1693</v>
      </c>
      <c r="J393" s="3" t="s">
        <v>47</v>
      </c>
    </row>
    <row r="394">
      <c r="A394" s="4">
        <v>90486.0</v>
      </c>
      <c r="B394" s="3" t="s">
        <v>1694</v>
      </c>
      <c r="C394" s="5">
        <v>46165.339467592596</v>
      </c>
      <c r="D394" s="3" t="s">
        <v>724</v>
      </c>
      <c r="E394" s="3" t="s">
        <v>1695</v>
      </c>
      <c r="F394" s="4">
        <v>7.395951125E9</v>
      </c>
      <c r="G394" s="3" t="s">
        <v>50</v>
      </c>
      <c r="H394" s="3" t="s">
        <v>112</v>
      </c>
      <c r="I394" s="3" t="s">
        <v>508</v>
      </c>
      <c r="J394" s="3" t="s">
        <v>47</v>
      </c>
    </row>
    <row r="395">
      <c r="A395" s="4">
        <v>90487.0</v>
      </c>
      <c r="B395" s="3" t="s">
        <v>1696</v>
      </c>
      <c r="C395" s="5">
        <v>46165.38046296296</v>
      </c>
      <c r="D395" s="3" t="s">
        <v>724</v>
      </c>
      <c r="E395" s="3" t="s">
        <v>1697</v>
      </c>
      <c r="F395" s="19">
        <v>9.7155E11</v>
      </c>
      <c r="G395" s="3" t="s">
        <v>273</v>
      </c>
      <c r="H395" s="3" t="s">
        <v>272</v>
      </c>
      <c r="I395" s="3" t="s">
        <v>272</v>
      </c>
      <c r="J395" s="3" t="s">
        <v>47</v>
      </c>
    </row>
    <row r="396">
      <c r="A396" s="4">
        <v>90488.0</v>
      </c>
      <c r="B396" s="3" t="s">
        <v>1698</v>
      </c>
      <c r="C396" s="5">
        <v>46165.40321759259</v>
      </c>
      <c r="D396" s="3" t="s">
        <v>724</v>
      </c>
      <c r="E396" s="3" t="s">
        <v>1699</v>
      </c>
      <c r="F396" s="4">
        <v>8.951264792E9</v>
      </c>
      <c r="G396" s="3" t="s">
        <v>273</v>
      </c>
      <c r="H396" s="3" t="s">
        <v>272</v>
      </c>
      <c r="I396" s="3" t="s">
        <v>272</v>
      </c>
      <c r="J396" s="3" t="s">
        <v>47</v>
      </c>
    </row>
    <row r="397">
      <c r="A397" s="4">
        <v>90489.0</v>
      </c>
      <c r="B397" s="3" t="s">
        <v>1700</v>
      </c>
      <c r="C397" s="5">
        <v>46165.47613425926</v>
      </c>
      <c r="D397" s="3" t="s">
        <v>724</v>
      </c>
      <c r="E397" s="3" t="s">
        <v>1701</v>
      </c>
      <c r="F397" s="4">
        <v>9.770790484E9</v>
      </c>
      <c r="G397" s="3" t="s">
        <v>50</v>
      </c>
      <c r="H397" s="3" t="s">
        <v>157</v>
      </c>
      <c r="I397" s="3" t="s">
        <v>156</v>
      </c>
      <c r="J397" s="3" t="s">
        <v>47</v>
      </c>
    </row>
    <row r="398">
      <c r="A398" s="4">
        <v>90490.0</v>
      </c>
      <c r="B398" s="3" t="s">
        <v>1702</v>
      </c>
      <c r="C398" s="5">
        <v>46165.53922453704</v>
      </c>
      <c r="D398" s="3" t="s">
        <v>724</v>
      </c>
      <c r="E398" s="3" t="s">
        <v>1703</v>
      </c>
      <c r="F398" s="4">
        <v>9.513313385E9</v>
      </c>
      <c r="G398" s="3" t="s">
        <v>50</v>
      </c>
      <c r="H398" s="3" t="s">
        <v>162</v>
      </c>
      <c r="I398" s="3" t="s">
        <v>161</v>
      </c>
      <c r="J398" s="3" t="s">
        <v>47</v>
      </c>
    </row>
    <row r="399">
      <c r="A399" s="4">
        <v>90491.0</v>
      </c>
      <c r="B399" s="3" t="s">
        <v>1704</v>
      </c>
      <c r="C399" s="5">
        <v>46165.58112268519</v>
      </c>
      <c r="D399" s="3" t="s">
        <v>724</v>
      </c>
      <c r="E399" s="3" t="s">
        <v>1705</v>
      </c>
      <c r="F399" s="4">
        <v>8.319530686E9</v>
      </c>
      <c r="G399" s="3" t="s">
        <v>50</v>
      </c>
      <c r="H399" s="3" t="s">
        <v>157</v>
      </c>
      <c r="I399" s="3" t="s">
        <v>1706</v>
      </c>
      <c r="J399" s="3" t="s">
        <v>47</v>
      </c>
    </row>
    <row r="400">
      <c r="A400" s="4">
        <v>90492.0</v>
      </c>
      <c r="B400" s="3" t="s">
        <v>1707</v>
      </c>
      <c r="C400" s="5">
        <v>46165.65696759259</v>
      </c>
      <c r="D400" s="3" t="s">
        <v>724</v>
      </c>
      <c r="E400" s="3" t="s">
        <v>1708</v>
      </c>
      <c r="F400" s="12" t="str">
        <f>+91 932 0631911</f>
        <v>#ERROR!</v>
      </c>
      <c r="G400" s="3" t="s">
        <v>50</v>
      </c>
      <c r="H400" s="3" t="s">
        <v>366</v>
      </c>
      <c r="I400" s="3" t="s">
        <v>1709</v>
      </c>
      <c r="K400" s="12"/>
    </row>
    <row r="401">
      <c r="A401" s="4">
        <v>90493.0</v>
      </c>
      <c r="B401" s="3" t="s">
        <v>1710</v>
      </c>
      <c r="C401" s="5">
        <v>46165.73474537037</v>
      </c>
      <c r="D401" s="3" t="s">
        <v>724</v>
      </c>
      <c r="E401" s="3" t="s">
        <v>1711</v>
      </c>
      <c r="F401" s="4">
        <v>9.140674133E9</v>
      </c>
      <c r="G401" s="3" t="s">
        <v>50</v>
      </c>
      <c r="H401" s="3" t="s">
        <v>54</v>
      </c>
      <c r="I401" s="3" t="s">
        <v>105</v>
      </c>
      <c r="J401" s="12"/>
      <c r="K401" s="12"/>
    </row>
    <row r="402">
      <c r="A402" s="4">
        <v>90494.0</v>
      </c>
      <c r="B402" s="3" t="s">
        <v>1712</v>
      </c>
      <c r="C402" s="5">
        <v>46165.8599537037</v>
      </c>
      <c r="D402" s="3" t="s">
        <v>724</v>
      </c>
      <c r="E402" s="3" t="s">
        <v>1713</v>
      </c>
      <c r="F402" s="4">
        <v>8.874014305E9</v>
      </c>
      <c r="G402" s="3" t="s">
        <v>50</v>
      </c>
      <c r="H402" s="3" t="s">
        <v>54</v>
      </c>
      <c r="I402" s="3" t="s">
        <v>1472</v>
      </c>
      <c r="J402" s="3" t="s">
        <v>47</v>
      </c>
    </row>
    <row r="403">
      <c r="A403" s="4">
        <v>90495.0</v>
      </c>
      <c r="B403" s="3" t="s">
        <v>1714</v>
      </c>
      <c r="C403" s="5">
        <v>46165.90766203704</v>
      </c>
      <c r="D403" s="3" t="s">
        <v>724</v>
      </c>
      <c r="E403" s="3" t="s">
        <v>1715</v>
      </c>
      <c r="F403" s="4">
        <v>9.175566126E9</v>
      </c>
      <c r="G403" s="3" t="s">
        <v>50</v>
      </c>
      <c r="H403" s="3" t="s">
        <v>64</v>
      </c>
      <c r="I403" s="3" t="s">
        <v>84</v>
      </c>
      <c r="J403" s="3" t="s">
        <v>47</v>
      </c>
    </row>
    <row r="404">
      <c r="A404" s="4">
        <v>90496.0</v>
      </c>
      <c r="B404" s="3" t="s">
        <v>1716</v>
      </c>
      <c r="C404" s="5">
        <v>46166.00681712963</v>
      </c>
      <c r="D404" s="3" t="s">
        <v>724</v>
      </c>
      <c r="E404" s="3" t="s">
        <v>1717</v>
      </c>
      <c r="F404" s="4">
        <v>7.358913386E9</v>
      </c>
      <c r="G404" s="3" t="s">
        <v>50</v>
      </c>
      <c r="H404" s="3" t="s">
        <v>162</v>
      </c>
      <c r="I404" s="3" t="s">
        <v>161</v>
      </c>
      <c r="J404" s="3" t="s">
        <v>47</v>
      </c>
    </row>
    <row r="405">
      <c r="A405" s="4">
        <v>90497.0</v>
      </c>
      <c r="B405" s="3" t="s">
        <v>1718</v>
      </c>
      <c r="C405" s="5">
        <v>46166.207916666666</v>
      </c>
      <c r="D405" s="3" t="s">
        <v>727</v>
      </c>
      <c r="E405" s="12"/>
      <c r="F405" s="12"/>
      <c r="G405" s="3" t="s">
        <v>50</v>
      </c>
      <c r="H405" s="3" t="s">
        <v>162</v>
      </c>
      <c r="I405" s="3" t="s">
        <v>161</v>
      </c>
      <c r="J405" s="3" t="s">
        <v>47</v>
      </c>
    </row>
    <row r="406">
      <c r="A406" s="4">
        <v>90498.0</v>
      </c>
      <c r="B406" s="3" t="s">
        <v>1719</v>
      </c>
      <c r="C406" s="5">
        <v>46166.27837962963</v>
      </c>
      <c r="D406" s="3" t="s">
        <v>724</v>
      </c>
      <c r="E406" s="3" t="s">
        <v>1720</v>
      </c>
      <c r="F406" s="4">
        <v>5.857643074E9</v>
      </c>
      <c r="G406" s="3" t="s">
        <v>612</v>
      </c>
      <c r="H406" s="3" t="s">
        <v>1721</v>
      </c>
      <c r="I406" s="3" t="s">
        <v>1722</v>
      </c>
      <c r="J406" s="12"/>
      <c r="K406" s="12"/>
    </row>
    <row r="407">
      <c r="A407" s="4">
        <v>90499.0</v>
      </c>
      <c r="B407" s="3" t="s">
        <v>1723</v>
      </c>
      <c r="C407" s="5">
        <v>46166.45398148148</v>
      </c>
      <c r="D407" s="3" t="s">
        <v>727</v>
      </c>
      <c r="E407" s="3" t="s">
        <v>1724</v>
      </c>
      <c r="F407" s="4">
        <v>8.828368916E9</v>
      </c>
      <c r="G407" s="3" t="s">
        <v>50</v>
      </c>
      <c r="H407" s="3" t="s">
        <v>64</v>
      </c>
      <c r="I407" s="3" t="s">
        <v>84</v>
      </c>
      <c r="J407" s="3" t="s">
        <v>47</v>
      </c>
    </row>
    <row r="408">
      <c r="A408" s="4">
        <v>90500.0</v>
      </c>
      <c r="B408" s="3" t="s">
        <v>1725</v>
      </c>
      <c r="C408" s="5">
        <v>46166.48238425926</v>
      </c>
      <c r="D408" s="3" t="s">
        <v>727</v>
      </c>
      <c r="E408" s="3" t="s">
        <v>1726</v>
      </c>
      <c r="F408" s="4">
        <v>8.960237093E9</v>
      </c>
      <c r="G408" s="3" t="s">
        <v>50</v>
      </c>
      <c r="H408" s="3" t="s">
        <v>54</v>
      </c>
      <c r="I408" s="3" t="s">
        <v>1727</v>
      </c>
      <c r="J408" s="3" t="s">
        <v>47</v>
      </c>
    </row>
    <row r="409">
      <c r="A409" s="4">
        <v>90501.0</v>
      </c>
      <c r="B409" s="3" t="s">
        <v>1728</v>
      </c>
      <c r="C409" s="5">
        <v>46166.48761574074</v>
      </c>
      <c r="D409" s="3" t="s">
        <v>727</v>
      </c>
      <c r="E409" s="3" t="s">
        <v>1729</v>
      </c>
      <c r="F409" s="4">
        <v>7.067077914E9</v>
      </c>
      <c r="G409" s="3" t="s">
        <v>50</v>
      </c>
      <c r="H409" s="3" t="s">
        <v>157</v>
      </c>
      <c r="I409" s="3" t="s">
        <v>1730</v>
      </c>
      <c r="J409" s="3" t="s">
        <v>47</v>
      </c>
    </row>
    <row r="410">
      <c r="A410" s="4">
        <v>90502.0</v>
      </c>
      <c r="B410" s="3" t="s">
        <v>1731</v>
      </c>
      <c r="C410" s="5">
        <v>46166.506736111114</v>
      </c>
      <c r="D410" s="3" t="s">
        <v>727</v>
      </c>
      <c r="E410" s="3" t="s">
        <v>1732</v>
      </c>
      <c r="F410" s="4">
        <v>9.061928062E9</v>
      </c>
      <c r="G410" s="3" t="s">
        <v>273</v>
      </c>
      <c r="H410" s="3" t="s">
        <v>272</v>
      </c>
      <c r="I410" s="3" t="s">
        <v>272</v>
      </c>
      <c r="J410" s="3" t="s">
        <v>47</v>
      </c>
    </row>
    <row r="411">
      <c r="A411" s="4">
        <v>90503.0</v>
      </c>
      <c r="B411" s="3" t="s">
        <v>1733</v>
      </c>
      <c r="C411" s="5">
        <v>46166.512291666666</v>
      </c>
      <c r="D411" s="3" t="s">
        <v>724</v>
      </c>
      <c r="E411" s="3" t="s">
        <v>1734</v>
      </c>
      <c r="F411" s="4">
        <v>9.942515735E9</v>
      </c>
      <c r="G411" s="3" t="s">
        <v>50</v>
      </c>
      <c r="H411" s="3" t="s">
        <v>529</v>
      </c>
      <c r="I411" s="3" t="s">
        <v>1419</v>
      </c>
      <c r="J411" s="3" t="s">
        <v>47</v>
      </c>
    </row>
    <row r="412">
      <c r="A412" s="4">
        <v>90504.0</v>
      </c>
      <c r="B412" s="3" t="s">
        <v>1735</v>
      </c>
      <c r="C412" s="5">
        <v>46166.58170138889</v>
      </c>
      <c r="D412" s="3" t="s">
        <v>727</v>
      </c>
      <c r="E412" s="3" t="s">
        <v>1736</v>
      </c>
      <c r="F412" s="4">
        <v>9.64490581E9</v>
      </c>
      <c r="G412" s="3" t="s">
        <v>50</v>
      </c>
      <c r="H412" s="3" t="s">
        <v>157</v>
      </c>
      <c r="I412" s="3" t="s">
        <v>512</v>
      </c>
      <c r="J412" s="3" t="s">
        <v>47</v>
      </c>
    </row>
    <row r="413">
      <c r="A413" s="4">
        <v>90505.0</v>
      </c>
      <c r="B413" s="3" t="s">
        <v>1737</v>
      </c>
      <c r="C413" s="5">
        <v>46166.67555555556</v>
      </c>
      <c r="D413" s="3" t="s">
        <v>724</v>
      </c>
      <c r="E413" s="3" t="s">
        <v>1738</v>
      </c>
      <c r="F413" s="4">
        <v>6.591835955E9</v>
      </c>
      <c r="G413" s="3" t="s">
        <v>1739</v>
      </c>
      <c r="H413" s="3" t="s">
        <v>1739</v>
      </c>
      <c r="I413" s="3" t="s">
        <v>1739</v>
      </c>
      <c r="J413" s="3" t="s">
        <v>47</v>
      </c>
    </row>
    <row r="414">
      <c r="A414" s="4">
        <v>90506.0</v>
      </c>
      <c r="B414" s="3" t="s">
        <v>1740</v>
      </c>
      <c r="C414" s="5">
        <v>46166.67581018519</v>
      </c>
      <c r="D414" s="3" t="s">
        <v>724</v>
      </c>
      <c r="E414" s="3" t="s">
        <v>1741</v>
      </c>
      <c r="F414" s="4">
        <v>7.008082005E9</v>
      </c>
      <c r="G414" s="3" t="s">
        <v>50</v>
      </c>
      <c r="H414" s="3" t="s">
        <v>132</v>
      </c>
      <c r="I414" s="3" t="s">
        <v>972</v>
      </c>
      <c r="J414" s="3" t="s">
        <v>47</v>
      </c>
    </row>
    <row r="415">
      <c r="A415" s="4">
        <v>90507.0</v>
      </c>
      <c r="B415" s="3" t="s">
        <v>1742</v>
      </c>
      <c r="C415" s="5">
        <v>46166.67821759259</v>
      </c>
      <c r="D415" s="3" t="s">
        <v>724</v>
      </c>
      <c r="E415" s="3" t="s">
        <v>1743</v>
      </c>
      <c r="F415" s="4">
        <v>9.559031528E9</v>
      </c>
      <c r="G415" s="3" t="s">
        <v>50</v>
      </c>
      <c r="H415" s="3" t="s">
        <v>162</v>
      </c>
      <c r="I415" s="3" t="s">
        <v>161</v>
      </c>
      <c r="J415" s="3" t="s">
        <v>47</v>
      </c>
    </row>
    <row r="416">
      <c r="A416" s="4">
        <v>90508.0</v>
      </c>
      <c r="B416" s="3" t="s">
        <v>1744</v>
      </c>
      <c r="C416" s="5">
        <v>46166.71649305556</v>
      </c>
      <c r="D416" s="3" t="s">
        <v>724</v>
      </c>
      <c r="E416" s="3" t="s">
        <v>1745</v>
      </c>
      <c r="F416" s="4">
        <v>9.414209281E9</v>
      </c>
      <c r="G416" s="3" t="s">
        <v>50</v>
      </c>
      <c r="H416" s="3" t="s">
        <v>292</v>
      </c>
      <c r="I416" s="3" t="s">
        <v>1746</v>
      </c>
      <c r="J416" s="3" t="s">
        <v>47</v>
      </c>
    </row>
    <row r="417">
      <c r="A417" s="4">
        <v>90509.0</v>
      </c>
      <c r="B417" s="3" t="s">
        <v>1747</v>
      </c>
      <c r="C417" s="5">
        <v>46166.74505787037</v>
      </c>
      <c r="D417" s="3" t="s">
        <v>724</v>
      </c>
      <c r="E417" s="3" t="s">
        <v>1748</v>
      </c>
      <c r="F417" s="4">
        <v>9.359259781E9</v>
      </c>
      <c r="G417" s="3" t="s">
        <v>50</v>
      </c>
      <c r="H417" s="3" t="s">
        <v>292</v>
      </c>
      <c r="I417" s="3" t="s">
        <v>291</v>
      </c>
      <c r="J417" s="3" t="s">
        <v>47</v>
      </c>
    </row>
    <row r="418">
      <c r="A418" s="4">
        <v>90510.0</v>
      </c>
      <c r="B418" s="3" t="s">
        <v>1749</v>
      </c>
      <c r="C418" s="5">
        <v>46166.78984953704</v>
      </c>
      <c r="D418" s="3" t="s">
        <v>724</v>
      </c>
      <c r="E418" s="3" t="s">
        <v>1750</v>
      </c>
      <c r="F418" s="4">
        <v>7.995697819E9</v>
      </c>
      <c r="G418" s="3" t="s">
        <v>50</v>
      </c>
      <c r="H418" s="3" t="s">
        <v>750</v>
      </c>
      <c r="I418" s="3" t="s">
        <v>1751</v>
      </c>
      <c r="J418" s="3" t="s">
        <v>47</v>
      </c>
    </row>
    <row r="419">
      <c r="A419" s="4">
        <v>90511.0</v>
      </c>
      <c r="B419" s="3" t="s">
        <v>1752</v>
      </c>
      <c r="C419" s="5">
        <v>46166.84321759259</v>
      </c>
      <c r="D419" s="3" t="s">
        <v>724</v>
      </c>
      <c r="E419" s="3" t="s">
        <v>1753</v>
      </c>
      <c r="F419" s="4">
        <v>8.209744688E9</v>
      </c>
      <c r="G419" s="3" t="s">
        <v>50</v>
      </c>
      <c r="H419" s="3" t="s">
        <v>140</v>
      </c>
      <c r="I419" s="3" t="s">
        <v>139</v>
      </c>
      <c r="J419" s="3" t="s">
        <v>47</v>
      </c>
    </row>
    <row r="420">
      <c r="A420" s="4">
        <v>90512.0</v>
      </c>
      <c r="B420" s="3" t="s">
        <v>1754</v>
      </c>
      <c r="C420" s="5">
        <v>46167.01665509259</v>
      </c>
      <c r="D420" s="3" t="s">
        <v>724</v>
      </c>
      <c r="E420" s="3" t="s">
        <v>1755</v>
      </c>
      <c r="F420" s="4">
        <v>7.019047949E9</v>
      </c>
      <c r="G420" s="3" t="s">
        <v>50</v>
      </c>
      <c r="H420" s="3" t="s">
        <v>162</v>
      </c>
      <c r="I420" s="3" t="s">
        <v>1756</v>
      </c>
      <c r="J420" s="3" t="s">
        <v>47</v>
      </c>
    </row>
    <row r="421">
      <c r="A421" s="4">
        <v>90513.0</v>
      </c>
      <c r="B421" s="3" t="s">
        <v>1757</v>
      </c>
      <c r="C421" s="5">
        <v>46167.06690972222</v>
      </c>
      <c r="D421" s="3" t="s">
        <v>724</v>
      </c>
      <c r="E421" s="3" t="s">
        <v>1758</v>
      </c>
      <c r="F421" s="4">
        <v>7.042886792E9</v>
      </c>
      <c r="G421" s="3" t="s">
        <v>50</v>
      </c>
      <c r="H421" s="3" t="s">
        <v>117</v>
      </c>
      <c r="I421" s="3" t="s">
        <v>168</v>
      </c>
      <c r="J421" s="3" t="s">
        <v>47</v>
      </c>
    </row>
    <row r="422">
      <c r="A422" s="4">
        <v>90514.0</v>
      </c>
      <c r="B422" s="3" t="s">
        <v>1759</v>
      </c>
      <c r="C422" s="5">
        <v>46167.31655092593</v>
      </c>
      <c r="D422" s="3" t="s">
        <v>724</v>
      </c>
      <c r="E422" s="3" t="s">
        <v>1760</v>
      </c>
      <c r="F422" s="12" t="str">
        <f>+1 9173845339</f>
        <v>#ERROR!</v>
      </c>
      <c r="G422" s="3" t="s">
        <v>612</v>
      </c>
      <c r="H422" s="3" t="s">
        <v>1761</v>
      </c>
      <c r="I422" s="3" t="s">
        <v>1761</v>
      </c>
      <c r="J422" s="3" t="s">
        <v>47</v>
      </c>
    </row>
    <row r="423">
      <c r="A423" s="4">
        <v>90515.0</v>
      </c>
      <c r="B423" s="3" t="s">
        <v>1762</v>
      </c>
      <c r="C423" s="5">
        <v>46167.40136574074</v>
      </c>
      <c r="D423" s="3" t="s">
        <v>724</v>
      </c>
      <c r="E423" s="3" t="s">
        <v>1763</v>
      </c>
      <c r="F423" s="4">
        <v>7.980859614E9</v>
      </c>
      <c r="G423" s="3" t="s">
        <v>50</v>
      </c>
      <c r="H423" s="3" t="s">
        <v>175</v>
      </c>
      <c r="I423" s="3" t="s">
        <v>946</v>
      </c>
      <c r="J423" s="3" t="s">
        <v>47</v>
      </c>
    </row>
    <row r="424">
      <c r="A424" s="4">
        <v>90516.0</v>
      </c>
      <c r="B424" s="3" t="s">
        <v>1764</v>
      </c>
      <c r="C424" s="5">
        <v>46167.44598379629</v>
      </c>
      <c r="D424" s="3" t="s">
        <v>724</v>
      </c>
      <c r="E424" s="3" t="s">
        <v>1765</v>
      </c>
      <c r="F424" s="4">
        <v>7.355187595E9</v>
      </c>
      <c r="G424" s="3" t="s">
        <v>50</v>
      </c>
      <c r="H424" s="3" t="s">
        <v>162</v>
      </c>
      <c r="I424" s="3" t="s">
        <v>161</v>
      </c>
      <c r="J424" s="3" t="s">
        <v>47</v>
      </c>
    </row>
    <row r="425">
      <c r="A425" s="4">
        <v>90517.0</v>
      </c>
      <c r="B425" s="3" t="s">
        <v>1766</v>
      </c>
      <c r="C425" s="5">
        <v>46167.46429398148</v>
      </c>
      <c r="D425" s="3" t="s">
        <v>724</v>
      </c>
      <c r="E425" s="3" t="s">
        <v>1767</v>
      </c>
      <c r="F425" s="4">
        <v>7.066308877E9</v>
      </c>
      <c r="G425" s="3" t="s">
        <v>50</v>
      </c>
      <c r="H425" s="3" t="s">
        <v>64</v>
      </c>
      <c r="I425" s="3" t="s">
        <v>94</v>
      </c>
      <c r="J425" s="3" t="s">
        <v>47</v>
      </c>
    </row>
    <row r="426">
      <c r="A426" s="4">
        <v>90518.0</v>
      </c>
      <c r="B426" s="3" t="s">
        <v>1768</v>
      </c>
      <c r="C426" s="5">
        <v>46167.52292824074</v>
      </c>
      <c r="D426" s="3" t="s">
        <v>724</v>
      </c>
      <c r="E426" s="3" t="s">
        <v>1769</v>
      </c>
      <c r="F426" s="4">
        <v>9.51834473E9</v>
      </c>
      <c r="G426" s="3" t="s">
        <v>50</v>
      </c>
      <c r="H426" s="3" t="s">
        <v>64</v>
      </c>
      <c r="I426" s="3" t="s">
        <v>94</v>
      </c>
      <c r="J426" s="3" t="s">
        <v>47</v>
      </c>
    </row>
    <row r="427">
      <c r="A427" s="4">
        <v>90519.0</v>
      </c>
      <c r="B427" s="3" t="s">
        <v>1770</v>
      </c>
      <c r="C427" s="5">
        <v>46167.565358796295</v>
      </c>
      <c r="D427" s="3" t="s">
        <v>724</v>
      </c>
      <c r="E427" s="3" t="s">
        <v>1771</v>
      </c>
      <c r="F427" s="4">
        <v>9.940365578E9</v>
      </c>
      <c r="G427" s="3" t="s">
        <v>50</v>
      </c>
      <c r="H427" s="3" t="s">
        <v>112</v>
      </c>
      <c r="I427" s="3" t="s">
        <v>508</v>
      </c>
      <c r="J427" s="3" t="s">
        <v>47</v>
      </c>
    </row>
    <row r="428">
      <c r="A428" s="4">
        <v>90520.0</v>
      </c>
      <c r="B428" s="3" t="s">
        <v>1772</v>
      </c>
      <c r="C428" s="5">
        <v>46167.62123842593</v>
      </c>
      <c r="D428" s="3" t="s">
        <v>727</v>
      </c>
      <c r="E428" s="3" t="s">
        <v>1773</v>
      </c>
      <c r="F428" s="4">
        <v>8.93967394E9</v>
      </c>
      <c r="G428" s="3" t="s">
        <v>50</v>
      </c>
      <c r="H428" s="3" t="s">
        <v>162</v>
      </c>
      <c r="I428" s="3" t="s">
        <v>1774</v>
      </c>
      <c r="J428" s="3" t="s">
        <v>47</v>
      </c>
    </row>
    <row r="429">
      <c r="A429" s="4">
        <v>90521.0</v>
      </c>
      <c r="B429" s="3" t="s">
        <v>1775</v>
      </c>
      <c r="C429" s="5">
        <v>46167.6815625</v>
      </c>
      <c r="D429" s="3" t="s">
        <v>727</v>
      </c>
      <c r="E429" s="3" t="s">
        <v>1776</v>
      </c>
      <c r="F429" s="4">
        <v>9.87785407E9</v>
      </c>
      <c r="G429" s="3" t="s">
        <v>50</v>
      </c>
      <c r="H429" s="3" t="s">
        <v>628</v>
      </c>
      <c r="I429" s="3" t="s">
        <v>628</v>
      </c>
      <c r="J429" s="3" t="s">
        <v>47</v>
      </c>
    </row>
    <row r="430">
      <c r="A430" s="4">
        <v>90522.0</v>
      </c>
      <c r="B430" s="3" t="s">
        <v>1777</v>
      </c>
      <c r="C430" s="5">
        <v>46167.753171296295</v>
      </c>
      <c r="D430" s="3" t="s">
        <v>724</v>
      </c>
      <c r="E430" s="3" t="s">
        <v>1778</v>
      </c>
      <c r="F430" s="4">
        <v>8.24985472E9</v>
      </c>
      <c r="G430" s="3" t="s">
        <v>50</v>
      </c>
      <c r="H430" s="3" t="s">
        <v>132</v>
      </c>
      <c r="I430" s="3" t="s">
        <v>1779</v>
      </c>
      <c r="J430" s="3" t="s">
        <v>47</v>
      </c>
    </row>
    <row r="431">
      <c r="A431" s="4">
        <v>90523.0</v>
      </c>
      <c r="B431" s="3" t="s">
        <v>1780</v>
      </c>
      <c r="C431" s="5">
        <v>46167.772627314815</v>
      </c>
      <c r="D431" s="3" t="s">
        <v>724</v>
      </c>
      <c r="E431" s="3" t="s">
        <v>1781</v>
      </c>
      <c r="F431" s="4">
        <v>7.396431133E9</v>
      </c>
      <c r="G431" s="3" t="s">
        <v>50</v>
      </c>
      <c r="H431" s="3" t="s">
        <v>100</v>
      </c>
      <c r="I431" s="3" t="s">
        <v>99</v>
      </c>
      <c r="J431" s="3" t="s">
        <v>47</v>
      </c>
    </row>
    <row r="432">
      <c r="A432" s="4">
        <v>90524.0</v>
      </c>
      <c r="B432" s="3" t="s">
        <v>1782</v>
      </c>
      <c r="C432" s="5">
        <v>46167.88667824074</v>
      </c>
      <c r="D432" s="3" t="s">
        <v>727</v>
      </c>
      <c r="E432" s="3" t="s">
        <v>1783</v>
      </c>
      <c r="F432" s="4">
        <v>7.338910849E9</v>
      </c>
      <c r="G432" s="3" t="s">
        <v>50</v>
      </c>
      <c r="H432" s="3" t="s">
        <v>112</v>
      </c>
      <c r="I432" s="3" t="s">
        <v>508</v>
      </c>
      <c r="J432" s="3" t="s">
        <v>47</v>
      </c>
    </row>
    <row r="433">
      <c r="A433" s="4">
        <v>90528.0</v>
      </c>
      <c r="B433" s="3" t="s">
        <v>1050</v>
      </c>
      <c r="C433" s="5">
        <v>46167.908634259256</v>
      </c>
      <c r="D433" s="3" t="s">
        <v>727</v>
      </c>
      <c r="E433" s="12"/>
      <c r="F433" s="12"/>
      <c r="G433" s="3" t="s">
        <v>50</v>
      </c>
      <c r="H433" s="3" t="s">
        <v>64</v>
      </c>
      <c r="I433" s="3" t="s">
        <v>84</v>
      </c>
      <c r="J433" s="3" t="s">
        <v>47</v>
      </c>
    </row>
    <row r="434">
      <c r="A434" s="4">
        <v>90529.0</v>
      </c>
      <c r="B434" s="3" t="s">
        <v>1784</v>
      </c>
      <c r="C434" s="5">
        <v>46167.929143518515</v>
      </c>
      <c r="D434" s="3" t="s">
        <v>724</v>
      </c>
      <c r="E434" s="3" t="s">
        <v>1785</v>
      </c>
      <c r="F434" s="4">
        <v>8.650792479E9</v>
      </c>
      <c r="G434" s="3" t="s">
        <v>50</v>
      </c>
      <c r="H434" s="3" t="s">
        <v>162</v>
      </c>
      <c r="I434" s="3" t="s">
        <v>161</v>
      </c>
      <c r="J434" s="3" t="s">
        <v>47</v>
      </c>
    </row>
    <row r="435">
      <c r="A435" s="4">
        <v>90530.0</v>
      </c>
      <c r="B435" s="3" t="s">
        <v>1786</v>
      </c>
      <c r="C435" s="5">
        <v>46168.429606481484</v>
      </c>
      <c r="D435" s="3" t="s">
        <v>724</v>
      </c>
      <c r="E435" s="3" t="s">
        <v>1787</v>
      </c>
      <c r="F435" s="4">
        <v>7.003798712E9</v>
      </c>
      <c r="G435" s="3" t="s">
        <v>50</v>
      </c>
      <c r="H435" s="3" t="s">
        <v>175</v>
      </c>
      <c r="I435" s="3" t="s">
        <v>174</v>
      </c>
      <c r="J435" s="3" t="s">
        <v>47</v>
      </c>
    </row>
    <row r="436">
      <c r="A436" s="4">
        <v>90531.0</v>
      </c>
      <c r="B436" s="3" t="s">
        <v>1788</v>
      </c>
      <c r="C436" s="5">
        <v>46168.51116898148</v>
      </c>
      <c r="D436" s="3" t="s">
        <v>727</v>
      </c>
      <c r="E436" s="3" t="s">
        <v>1789</v>
      </c>
      <c r="F436" s="4">
        <v>9.621088437E9</v>
      </c>
      <c r="G436" s="3" t="s">
        <v>50</v>
      </c>
      <c r="H436" s="3" t="s">
        <v>140</v>
      </c>
      <c r="I436" s="3" t="s">
        <v>139</v>
      </c>
      <c r="J436" s="12"/>
      <c r="K436" s="12"/>
    </row>
    <row r="437">
      <c r="A437" s="4">
        <v>90532.0</v>
      </c>
      <c r="B437" s="3" t="s">
        <v>1790</v>
      </c>
      <c r="C437" s="5">
        <v>46168.53092592592</v>
      </c>
      <c r="D437" s="3" t="s">
        <v>727</v>
      </c>
      <c r="E437" s="3" t="s">
        <v>1791</v>
      </c>
      <c r="F437" s="4">
        <v>8.885474119E9</v>
      </c>
      <c r="G437" s="3" t="s">
        <v>50</v>
      </c>
      <c r="H437" s="3" t="s">
        <v>100</v>
      </c>
      <c r="I437" s="3" t="s">
        <v>99</v>
      </c>
      <c r="J437" s="3" t="s">
        <v>47</v>
      </c>
    </row>
    <row r="438">
      <c r="A438" s="4">
        <v>90533.0</v>
      </c>
      <c r="B438" s="3" t="s">
        <v>1792</v>
      </c>
      <c r="C438" s="5">
        <v>46168.53586805556</v>
      </c>
      <c r="D438" s="3" t="s">
        <v>724</v>
      </c>
      <c r="E438" s="3" t="s">
        <v>1793</v>
      </c>
      <c r="F438" s="4">
        <v>8.130125149E9</v>
      </c>
      <c r="G438" s="3" t="s">
        <v>50</v>
      </c>
      <c r="H438" s="3" t="s">
        <v>140</v>
      </c>
      <c r="I438" s="3" t="s">
        <v>139</v>
      </c>
      <c r="J438" s="3" t="s">
        <v>47</v>
      </c>
    </row>
    <row r="439">
      <c r="A439" s="4">
        <v>90534.0</v>
      </c>
      <c r="B439" s="3" t="s">
        <v>1794</v>
      </c>
      <c r="C439" s="5">
        <v>46168.55902777778</v>
      </c>
      <c r="D439" s="3" t="s">
        <v>724</v>
      </c>
      <c r="E439" s="3" t="s">
        <v>1795</v>
      </c>
      <c r="F439" s="4">
        <v>7.021873101E9</v>
      </c>
      <c r="G439" s="3" t="s">
        <v>50</v>
      </c>
      <c r="H439" s="3" t="s">
        <v>64</v>
      </c>
      <c r="I439" s="3" t="s">
        <v>84</v>
      </c>
      <c r="J439" s="3" t="s">
        <v>47</v>
      </c>
    </row>
    <row r="440">
      <c r="A440" s="4">
        <v>90535.0</v>
      </c>
      <c r="B440" s="3" t="s">
        <v>1796</v>
      </c>
      <c r="C440" s="5">
        <v>46168.592569444445</v>
      </c>
      <c r="D440" s="3" t="s">
        <v>727</v>
      </c>
      <c r="E440" s="3" t="s">
        <v>1797</v>
      </c>
      <c r="F440" s="4">
        <v>9.953088899E9</v>
      </c>
      <c r="G440" s="3" t="s">
        <v>50</v>
      </c>
      <c r="H440" s="3" t="s">
        <v>117</v>
      </c>
      <c r="I440" s="3" t="s">
        <v>331</v>
      </c>
      <c r="J440" s="3" t="s">
        <v>1798</v>
      </c>
    </row>
    <row r="441">
      <c r="A441" s="4">
        <v>90536.0</v>
      </c>
      <c r="B441" s="3" t="s">
        <v>1799</v>
      </c>
      <c r="C441" s="5">
        <v>46168.71351851852</v>
      </c>
      <c r="D441" s="3" t="s">
        <v>724</v>
      </c>
      <c r="E441" s="3" t="s">
        <v>1800</v>
      </c>
      <c r="F441" s="4">
        <v>9.468469092E9</v>
      </c>
      <c r="G441" s="3" t="s">
        <v>50</v>
      </c>
      <c r="H441" s="3" t="s">
        <v>117</v>
      </c>
      <c r="I441" s="3" t="s">
        <v>1801</v>
      </c>
      <c r="J441" s="3" t="s">
        <v>47</v>
      </c>
    </row>
    <row r="442">
      <c r="A442" s="4">
        <v>90537.0</v>
      </c>
      <c r="B442" s="3" t="s">
        <v>1802</v>
      </c>
      <c r="C442" s="5">
        <v>46168.71438657407</v>
      </c>
      <c r="D442" s="3" t="s">
        <v>724</v>
      </c>
      <c r="E442" s="3" t="s">
        <v>1803</v>
      </c>
      <c r="F442" s="4">
        <v>9.999699125E9</v>
      </c>
      <c r="G442" s="3" t="s">
        <v>50</v>
      </c>
      <c r="H442" s="3" t="s">
        <v>140</v>
      </c>
      <c r="I442" s="3" t="s">
        <v>139</v>
      </c>
      <c r="J442" s="3" t="s">
        <v>47</v>
      </c>
    </row>
    <row r="443">
      <c r="A443" s="4">
        <v>90538.0</v>
      </c>
      <c r="B443" s="3" t="s">
        <v>1804</v>
      </c>
      <c r="C443" s="5">
        <v>46168.717361111114</v>
      </c>
      <c r="D443" s="3" t="s">
        <v>724</v>
      </c>
      <c r="E443" s="3" t="s">
        <v>1805</v>
      </c>
      <c r="F443" s="4">
        <v>9.664120061E9</v>
      </c>
      <c r="G443" s="3" t="s">
        <v>50</v>
      </c>
      <c r="H443" s="3" t="s">
        <v>64</v>
      </c>
      <c r="I443" s="3" t="s">
        <v>84</v>
      </c>
      <c r="J443" s="3" t="s">
        <v>47</v>
      </c>
    </row>
    <row r="444">
      <c r="A444" s="4">
        <v>90539.0</v>
      </c>
      <c r="B444" s="3" t="s">
        <v>1806</v>
      </c>
      <c r="C444" s="5">
        <v>46168.720405092594</v>
      </c>
      <c r="D444" s="3" t="s">
        <v>724</v>
      </c>
      <c r="E444" s="3" t="s">
        <v>1807</v>
      </c>
      <c r="F444" s="4">
        <v>9.170958732E9</v>
      </c>
      <c r="G444" s="3" t="s">
        <v>50</v>
      </c>
      <c r="H444" s="3" t="s">
        <v>424</v>
      </c>
      <c r="I444" s="3" t="s">
        <v>1808</v>
      </c>
      <c r="J444" s="3" t="s">
        <v>47</v>
      </c>
    </row>
    <row r="445">
      <c r="A445" s="4">
        <v>90540.0</v>
      </c>
      <c r="B445" s="3" t="s">
        <v>1809</v>
      </c>
      <c r="C445" s="5">
        <v>46168.73479166667</v>
      </c>
      <c r="D445" s="3" t="s">
        <v>724</v>
      </c>
      <c r="E445" s="3" t="s">
        <v>1810</v>
      </c>
      <c r="F445" s="4">
        <v>9.057782311E9</v>
      </c>
      <c r="G445" s="3" t="s">
        <v>50</v>
      </c>
      <c r="H445" s="3" t="s">
        <v>292</v>
      </c>
      <c r="I445" s="3" t="s">
        <v>291</v>
      </c>
      <c r="J445" s="3" t="s">
        <v>47</v>
      </c>
    </row>
    <row r="446">
      <c r="A446" s="4">
        <v>90541.0</v>
      </c>
      <c r="B446" s="3" t="s">
        <v>1811</v>
      </c>
      <c r="C446" s="5">
        <v>46168.801840277774</v>
      </c>
      <c r="D446" s="3" t="s">
        <v>724</v>
      </c>
      <c r="E446" s="12"/>
      <c r="F446" s="12"/>
      <c r="G446" s="3" t="s">
        <v>50</v>
      </c>
      <c r="H446" s="3" t="s">
        <v>292</v>
      </c>
      <c r="I446" s="3" t="s">
        <v>1812</v>
      </c>
      <c r="J446" s="3" t="s">
        <v>47</v>
      </c>
    </row>
    <row r="447">
      <c r="A447" s="4">
        <v>90542.0</v>
      </c>
      <c r="B447" s="3" t="s">
        <v>1813</v>
      </c>
      <c r="C447" s="5">
        <v>46168.85175925926</v>
      </c>
      <c r="D447" s="3" t="s">
        <v>724</v>
      </c>
      <c r="E447" s="3" t="s">
        <v>1814</v>
      </c>
      <c r="F447" s="19">
        <v>9.7156E11</v>
      </c>
      <c r="G447" s="3" t="s">
        <v>273</v>
      </c>
      <c r="H447" s="3" t="s">
        <v>272</v>
      </c>
      <c r="I447" s="3" t="s">
        <v>272</v>
      </c>
      <c r="J447" s="3" t="s">
        <v>47</v>
      </c>
    </row>
    <row r="448">
      <c r="A448" s="4">
        <v>90543.0</v>
      </c>
      <c r="B448" s="3" t="s">
        <v>1815</v>
      </c>
      <c r="C448" s="5">
        <v>46168.89800925926</v>
      </c>
      <c r="D448" s="3" t="s">
        <v>724</v>
      </c>
      <c r="E448" s="3" t="s">
        <v>1816</v>
      </c>
      <c r="F448" s="4">
        <v>9.150106535E9</v>
      </c>
      <c r="G448" s="3" t="s">
        <v>50</v>
      </c>
      <c r="H448" s="3" t="s">
        <v>162</v>
      </c>
      <c r="I448" s="3" t="s">
        <v>161</v>
      </c>
      <c r="J448" s="3" t="s">
        <v>47</v>
      </c>
    </row>
    <row r="449">
      <c r="A449" s="4">
        <v>90544.0</v>
      </c>
      <c r="B449" s="3" t="s">
        <v>1817</v>
      </c>
      <c r="C449" s="5">
        <v>46168.9609375</v>
      </c>
      <c r="D449" s="3" t="s">
        <v>727</v>
      </c>
      <c r="E449" s="3" t="s">
        <v>1818</v>
      </c>
      <c r="F449" s="4">
        <v>9.336641283E9</v>
      </c>
      <c r="G449" s="3" t="s">
        <v>50</v>
      </c>
      <c r="H449" s="3" t="s">
        <v>54</v>
      </c>
      <c r="I449" s="3" t="s">
        <v>1819</v>
      </c>
      <c r="J449" s="3" t="s">
        <v>47</v>
      </c>
    </row>
    <row r="450">
      <c r="A450" s="4">
        <v>90545.0</v>
      </c>
      <c r="B450" s="3" t="s">
        <v>1820</v>
      </c>
      <c r="C450" s="5">
        <v>46168.978634259256</v>
      </c>
      <c r="D450" s="3" t="s">
        <v>724</v>
      </c>
      <c r="E450" s="3" t="s">
        <v>1821</v>
      </c>
      <c r="F450" s="4">
        <v>8.795162299E9</v>
      </c>
      <c r="G450" s="3" t="s">
        <v>50</v>
      </c>
      <c r="H450" s="3" t="s">
        <v>54</v>
      </c>
      <c r="I450" s="3" t="s">
        <v>1618</v>
      </c>
      <c r="J450" s="3" t="s">
        <v>47</v>
      </c>
    </row>
    <row r="451">
      <c r="A451" s="4">
        <v>90546.0</v>
      </c>
      <c r="B451" s="3" t="s">
        <v>1822</v>
      </c>
      <c r="C451" s="5">
        <v>46168.98237268518</v>
      </c>
      <c r="D451" s="3" t="s">
        <v>727</v>
      </c>
      <c r="E451" s="3" t="s">
        <v>1823</v>
      </c>
      <c r="F451" s="4">
        <v>9.582014595E9</v>
      </c>
      <c r="G451" s="3" t="s">
        <v>50</v>
      </c>
      <c r="H451" s="3" t="s">
        <v>54</v>
      </c>
      <c r="I451" s="3" t="s">
        <v>740</v>
      </c>
      <c r="J451" s="3" t="s">
        <v>47</v>
      </c>
    </row>
    <row r="452">
      <c r="A452" s="4">
        <v>90547.0</v>
      </c>
      <c r="B452" s="3" t="s">
        <v>1824</v>
      </c>
      <c r="C452" s="5">
        <v>46169.10539351852</v>
      </c>
      <c r="D452" s="3" t="s">
        <v>724</v>
      </c>
      <c r="E452" s="3" t="s">
        <v>1825</v>
      </c>
      <c r="F452" s="4">
        <v>4.709293971E9</v>
      </c>
      <c r="G452" s="3" t="s">
        <v>612</v>
      </c>
      <c r="H452" s="3" t="s">
        <v>611</v>
      </c>
      <c r="I452" s="3" t="s">
        <v>610</v>
      </c>
      <c r="J452" s="3" t="s">
        <v>47</v>
      </c>
    </row>
    <row r="453">
      <c r="A453" s="4">
        <v>90548.0</v>
      </c>
      <c r="B453" s="3" t="s">
        <v>1826</v>
      </c>
      <c r="C453" s="5">
        <v>46169.32497685185</v>
      </c>
      <c r="D453" s="3" t="s">
        <v>727</v>
      </c>
      <c r="E453" s="3" t="s">
        <v>1827</v>
      </c>
      <c r="F453" s="4">
        <v>2.109355566E9</v>
      </c>
      <c r="G453" s="3" t="s">
        <v>612</v>
      </c>
      <c r="H453" s="3" t="s">
        <v>1056</v>
      </c>
      <c r="I453" s="3" t="s">
        <v>1828</v>
      </c>
      <c r="J453" s="3" t="s">
        <v>47</v>
      </c>
    </row>
    <row r="454">
      <c r="A454" s="4">
        <v>90549.0</v>
      </c>
      <c r="B454" s="3" t="s">
        <v>1236</v>
      </c>
      <c r="C454" s="5">
        <v>46169.52763888889</v>
      </c>
      <c r="D454" s="3" t="s">
        <v>724</v>
      </c>
      <c r="E454" s="3" t="s">
        <v>1829</v>
      </c>
      <c r="F454" s="4">
        <v>8.368555795E9</v>
      </c>
      <c r="G454" s="3" t="s">
        <v>50</v>
      </c>
      <c r="H454" s="3" t="s">
        <v>140</v>
      </c>
      <c r="I454" s="3" t="s">
        <v>139</v>
      </c>
      <c r="J454" s="3" t="s">
        <v>47</v>
      </c>
    </row>
    <row r="455">
      <c r="A455" s="4">
        <v>90550.0</v>
      </c>
      <c r="B455" s="3" t="s">
        <v>1236</v>
      </c>
      <c r="C455" s="5">
        <v>46169.53482638889</v>
      </c>
      <c r="D455" s="3" t="s">
        <v>724</v>
      </c>
      <c r="E455" s="3" t="s">
        <v>1830</v>
      </c>
      <c r="F455" s="4">
        <v>8.368555795E9</v>
      </c>
      <c r="G455" s="3" t="s">
        <v>50</v>
      </c>
      <c r="H455" s="3" t="s">
        <v>140</v>
      </c>
      <c r="I455" s="3" t="s">
        <v>139</v>
      </c>
      <c r="J455" s="3" t="s">
        <v>47</v>
      </c>
    </row>
    <row r="456">
      <c r="A456" s="4">
        <v>90551.0</v>
      </c>
      <c r="B456" s="3" t="s">
        <v>1831</v>
      </c>
      <c r="C456" s="5">
        <v>46169.56119212963</v>
      </c>
      <c r="D456" s="3" t="s">
        <v>727</v>
      </c>
      <c r="E456" s="3" t="s">
        <v>1832</v>
      </c>
      <c r="F456" s="4">
        <v>7.888969355E9</v>
      </c>
      <c r="G456" s="3" t="s">
        <v>50</v>
      </c>
      <c r="H456" s="3" t="s">
        <v>49</v>
      </c>
      <c r="I456" s="3" t="s">
        <v>1404</v>
      </c>
      <c r="J456" s="3" t="s">
        <v>47</v>
      </c>
    </row>
    <row r="457">
      <c r="A457" s="4">
        <v>90552.0</v>
      </c>
      <c r="B457" s="3" t="s">
        <v>1833</v>
      </c>
      <c r="C457" s="5">
        <v>46169.64675925926</v>
      </c>
      <c r="D457" s="3" t="s">
        <v>727</v>
      </c>
      <c r="E457" s="3" t="s">
        <v>1834</v>
      </c>
      <c r="F457" s="4">
        <v>6.374151272E9</v>
      </c>
      <c r="G457" s="3" t="s">
        <v>50</v>
      </c>
      <c r="H457" s="3" t="s">
        <v>112</v>
      </c>
      <c r="I457" s="3" t="s">
        <v>1835</v>
      </c>
      <c r="J457" s="3" t="s">
        <v>47</v>
      </c>
    </row>
    <row r="458">
      <c r="A458" s="4">
        <v>90553.0</v>
      </c>
      <c r="B458" s="3" t="s">
        <v>1836</v>
      </c>
      <c r="C458" s="5">
        <v>46169.67172453704</v>
      </c>
      <c r="D458" s="3" t="s">
        <v>724</v>
      </c>
      <c r="E458" s="3" t="s">
        <v>1837</v>
      </c>
      <c r="F458" s="4">
        <v>9.403187026E9</v>
      </c>
      <c r="G458" s="3" t="s">
        <v>50</v>
      </c>
      <c r="H458" s="3" t="s">
        <v>64</v>
      </c>
      <c r="I458" s="3" t="s">
        <v>94</v>
      </c>
      <c r="J458" s="3" t="s">
        <v>47</v>
      </c>
    </row>
    <row r="459">
      <c r="A459" s="4">
        <v>90554.0</v>
      </c>
      <c r="B459" s="3" t="s">
        <v>1817</v>
      </c>
      <c r="C459" s="5">
        <v>46169.68293981482</v>
      </c>
      <c r="D459" s="3" t="s">
        <v>727</v>
      </c>
      <c r="E459" s="3" t="s">
        <v>1838</v>
      </c>
      <c r="F459" s="4">
        <v>9.336641283E9</v>
      </c>
      <c r="G459" s="3" t="s">
        <v>50</v>
      </c>
      <c r="H459" s="3" t="s">
        <v>54</v>
      </c>
      <c r="I459" s="3" t="s">
        <v>1819</v>
      </c>
      <c r="J459" s="3" t="s">
        <v>47</v>
      </c>
    </row>
    <row r="460">
      <c r="A460" s="4">
        <v>90555.0</v>
      </c>
      <c r="B460" s="3" t="s">
        <v>1839</v>
      </c>
      <c r="C460" s="5">
        <v>46169.68457175926</v>
      </c>
      <c r="D460" s="3" t="s">
        <v>727</v>
      </c>
      <c r="E460" s="3" t="s">
        <v>1840</v>
      </c>
      <c r="F460" s="4">
        <v>9.061212911E9</v>
      </c>
      <c r="G460" s="3" t="s">
        <v>50</v>
      </c>
      <c r="H460" s="3" t="s">
        <v>349</v>
      </c>
      <c r="I460" s="3" t="s">
        <v>822</v>
      </c>
      <c r="J460" s="3" t="s">
        <v>47</v>
      </c>
    </row>
    <row r="461">
      <c r="A461" s="4">
        <v>90556.0</v>
      </c>
      <c r="B461" s="3" t="s">
        <v>1841</v>
      </c>
      <c r="C461" s="5">
        <v>46169.72180555556</v>
      </c>
      <c r="D461" s="3" t="s">
        <v>727</v>
      </c>
      <c r="E461" s="3" t="s">
        <v>1842</v>
      </c>
      <c r="F461" s="4">
        <v>8.368524881E9</v>
      </c>
      <c r="G461" s="3" t="s">
        <v>50</v>
      </c>
      <c r="H461" s="3" t="s">
        <v>140</v>
      </c>
      <c r="I461" s="3" t="s">
        <v>139</v>
      </c>
      <c r="J461" s="3" t="s">
        <v>502</v>
      </c>
    </row>
    <row r="462">
      <c r="A462" s="4">
        <v>90557.0</v>
      </c>
      <c r="B462" s="3" t="s">
        <v>1050</v>
      </c>
      <c r="C462" s="5">
        <v>46169.72914351852</v>
      </c>
      <c r="D462" s="3" t="s">
        <v>727</v>
      </c>
      <c r="E462" s="12"/>
      <c r="F462" s="12"/>
      <c r="G462" s="3" t="s">
        <v>50</v>
      </c>
      <c r="H462" s="3" t="s">
        <v>64</v>
      </c>
      <c r="I462" s="3" t="s">
        <v>84</v>
      </c>
      <c r="J462" s="3" t="s">
        <v>47</v>
      </c>
    </row>
    <row r="463">
      <c r="A463" s="4">
        <v>90558.0</v>
      </c>
      <c r="B463" s="3" t="s">
        <v>1843</v>
      </c>
      <c r="C463" s="5">
        <v>46169.72960648148</v>
      </c>
      <c r="D463" s="3" t="s">
        <v>724</v>
      </c>
      <c r="E463" s="3" t="s">
        <v>1844</v>
      </c>
      <c r="F463" s="4">
        <v>9.667992344E9</v>
      </c>
      <c r="G463" s="3" t="s">
        <v>50</v>
      </c>
      <c r="H463" s="3" t="s">
        <v>117</v>
      </c>
      <c r="I463" s="3" t="s">
        <v>331</v>
      </c>
      <c r="J463" s="3" t="s">
        <v>502</v>
      </c>
    </row>
    <row r="464">
      <c r="A464" s="4">
        <v>90559.0</v>
      </c>
      <c r="B464" s="3" t="s">
        <v>1845</v>
      </c>
      <c r="C464" s="5">
        <v>46169.799722222226</v>
      </c>
      <c r="D464" s="3" t="s">
        <v>727</v>
      </c>
      <c r="E464" s="3" t="s">
        <v>1846</v>
      </c>
      <c r="F464" s="4">
        <v>7.38303233E9</v>
      </c>
      <c r="G464" s="3" t="s">
        <v>50</v>
      </c>
      <c r="H464" s="3" t="s">
        <v>150</v>
      </c>
      <c r="I464" s="3" t="s">
        <v>1847</v>
      </c>
      <c r="J464" s="3" t="s">
        <v>47</v>
      </c>
    </row>
    <row r="465">
      <c r="A465" s="4">
        <v>90560.0</v>
      </c>
      <c r="B465" s="3" t="s">
        <v>1848</v>
      </c>
      <c r="C465" s="5">
        <v>46169.90675925926</v>
      </c>
      <c r="D465" s="3" t="s">
        <v>724</v>
      </c>
      <c r="E465" s="3" t="s">
        <v>1849</v>
      </c>
      <c r="F465" s="4">
        <v>9.306020783E9</v>
      </c>
      <c r="G465" s="3" t="s">
        <v>50</v>
      </c>
      <c r="H465" s="3" t="s">
        <v>117</v>
      </c>
      <c r="I465" s="3" t="s">
        <v>1850</v>
      </c>
      <c r="J465" s="3" t="s">
        <v>47</v>
      </c>
    </row>
    <row r="466">
      <c r="A466" s="4">
        <v>90561.0</v>
      </c>
      <c r="B466" s="3" t="s">
        <v>1851</v>
      </c>
      <c r="C466" s="5">
        <v>46169.92114583333</v>
      </c>
      <c r="D466" s="3" t="s">
        <v>724</v>
      </c>
      <c r="E466" s="3" t="s">
        <v>1852</v>
      </c>
      <c r="F466" s="4">
        <v>9.820240686E9</v>
      </c>
      <c r="G466" s="3" t="s">
        <v>50</v>
      </c>
      <c r="H466" s="3" t="s">
        <v>64</v>
      </c>
      <c r="I466" s="3" t="s">
        <v>94</v>
      </c>
      <c r="J466" s="3" t="s">
        <v>47</v>
      </c>
    </row>
    <row r="467">
      <c r="A467" s="4">
        <v>90562.0</v>
      </c>
      <c r="B467" s="3" t="s">
        <v>1853</v>
      </c>
      <c r="C467" s="5">
        <v>46169.94732638889</v>
      </c>
      <c r="D467" s="3" t="s">
        <v>724</v>
      </c>
      <c r="E467" s="3" t="s">
        <v>1854</v>
      </c>
      <c r="F467" s="3" t="s">
        <v>1855</v>
      </c>
      <c r="G467" s="3" t="s">
        <v>50</v>
      </c>
      <c r="H467" s="3" t="s">
        <v>64</v>
      </c>
      <c r="I467" s="3" t="s">
        <v>63</v>
      </c>
      <c r="J467" s="3" t="s">
        <v>47</v>
      </c>
    </row>
    <row r="468">
      <c r="A468" s="4">
        <v>90563.0</v>
      </c>
      <c r="B468" s="3" t="s">
        <v>1856</v>
      </c>
      <c r="C468" s="5">
        <v>46170.0221875</v>
      </c>
      <c r="D468" s="3" t="s">
        <v>727</v>
      </c>
      <c r="E468" s="3" t="s">
        <v>1857</v>
      </c>
      <c r="F468" s="4">
        <v>3.178837105E9</v>
      </c>
      <c r="G468" s="3" t="s">
        <v>612</v>
      </c>
      <c r="H468" s="3" t="s">
        <v>1858</v>
      </c>
      <c r="I468" s="3" t="s">
        <v>1859</v>
      </c>
      <c r="J468" s="3" t="s">
        <v>47</v>
      </c>
    </row>
    <row r="469">
      <c r="A469" s="4">
        <v>90564.0</v>
      </c>
      <c r="B469" s="3" t="s">
        <v>1860</v>
      </c>
      <c r="C469" s="5">
        <v>46170.35731481481</v>
      </c>
      <c r="D469" s="3" t="s">
        <v>727</v>
      </c>
      <c r="E469" s="3" t="s">
        <v>1861</v>
      </c>
      <c r="F469" s="4">
        <v>7.489727119E9</v>
      </c>
      <c r="G469" s="3" t="s">
        <v>50</v>
      </c>
      <c r="H469" s="3" t="s">
        <v>157</v>
      </c>
      <c r="I469" s="3" t="s">
        <v>212</v>
      </c>
      <c r="J469" s="3" t="s">
        <v>47</v>
      </c>
    </row>
    <row r="470">
      <c r="A470" s="4">
        <v>90570.0</v>
      </c>
      <c r="B470" s="3" t="s">
        <v>1862</v>
      </c>
      <c r="C470" s="5">
        <v>46170.42122685185</v>
      </c>
      <c r="D470" s="3" t="s">
        <v>724</v>
      </c>
      <c r="E470" s="3" t="s">
        <v>1863</v>
      </c>
      <c r="F470" s="4">
        <v>9.495791769E9</v>
      </c>
      <c r="G470" s="3" t="s">
        <v>50</v>
      </c>
      <c r="H470" s="3" t="s">
        <v>349</v>
      </c>
      <c r="I470" s="3" t="s">
        <v>1864</v>
      </c>
      <c r="J470" s="3" t="s">
        <v>47</v>
      </c>
    </row>
    <row r="471">
      <c r="A471" s="4">
        <v>90571.0</v>
      </c>
      <c r="B471" s="3" t="s">
        <v>1865</v>
      </c>
      <c r="C471" s="5">
        <v>46170.44033564815</v>
      </c>
      <c r="D471" s="3" t="s">
        <v>724</v>
      </c>
      <c r="E471" s="3" t="s">
        <v>1866</v>
      </c>
      <c r="F471" s="4">
        <v>7.668100902E9</v>
      </c>
      <c r="G471" s="3" t="s">
        <v>50</v>
      </c>
      <c r="H471" s="3" t="s">
        <v>49</v>
      </c>
      <c r="I471" s="3" t="s">
        <v>1404</v>
      </c>
      <c r="J471" s="3" t="s">
        <v>47</v>
      </c>
    </row>
    <row r="472">
      <c r="A472" s="4">
        <v>90572.0</v>
      </c>
      <c r="B472" s="3" t="s">
        <v>1867</v>
      </c>
      <c r="C472" s="5">
        <v>46170.45300925926</v>
      </c>
      <c r="D472" s="3" t="s">
        <v>727</v>
      </c>
      <c r="E472" s="3" t="s">
        <v>1868</v>
      </c>
      <c r="F472" s="4">
        <v>9.841963216E9</v>
      </c>
      <c r="G472" s="3" t="s">
        <v>50</v>
      </c>
      <c r="H472" s="3" t="s">
        <v>112</v>
      </c>
      <c r="I472" s="3" t="s">
        <v>508</v>
      </c>
      <c r="J472" s="3" t="s">
        <v>47</v>
      </c>
    </row>
    <row r="473">
      <c r="A473" s="4">
        <v>90573.0</v>
      </c>
      <c r="B473" s="3" t="s">
        <v>1869</v>
      </c>
      <c r="C473" s="5">
        <v>46170.48799768519</v>
      </c>
      <c r="D473" s="3" t="s">
        <v>724</v>
      </c>
      <c r="E473" s="3" t="s">
        <v>1870</v>
      </c>
      <c r="F473" s="4">
        <v>9.410173105E9</v>
      </c>
      <c r="G473" s="3" t="s">
        <v>50</v>
      </c>
      <c r="H473" s="3" t="s">
        <v>188</v>
      </c>
      <c r="I473" s="3" t="s">
        <v>1871</v>
      </c>
      <c r="J473" s="3" t="s">
        <v>47</v>
      </c>
    </row>
    <row r="474">
      <c r="A474" s="4">
        <v>90574.0</v>
      </c>
      <c r="B474" s="3" t="s">
        <v>1872</v>
      </c>
      <c r="C474" s="5">
        <v>46170.53501157407</v>
      </c>
      <c r="D474" s="3" t="s">
        <v>727</v>
      </c>
      <c r="E474" s="3" t="s">
        <v>1873</v>
      </c>
      <c r="F474" s="4">
        <v>8.917564142E9</v>
      </c>
      <c r="G474" s="3" t="s">
        <v>50</v>
      </c>
      <c r="H474" s="3" t="s">
        <v>162</v>
      </c>
      <c r="I474" s="3" t="s">
        <v>161</v>
      </c>
      <c r="J474" s="3" t="s">
        <v>47</v>
      </c>
    </row>
    <row r="475">
      <c r="A475" s="4">
        <v>90575.0</v>
      </c>
      <c r="B475" s="3" t="s">
        <v>1874</v>
      </c>
      <c r="C475" s="5">
        <v>46170.54127314815</v>
      </c>
      <c r="D475" s="3" t="s">
        <v>724</v>
      </c>
      <c r="E475" s="3" t="s">
        <v>1875</v>
      </c>
      <c r="F475" s="4">
        <v>8.959029735E9</v>
      </c>
      <c r="G475" s="3" t="s">
        <v>50</v>
      </c>
      <c r="H475" s="3" t="s">
        <v>157</v>
      </c>
      <c r="I475" s="3" t="s">
        <v>212</v>
      </c>
      <c r="J475" s="3" t="s">
        <v>47</v>
      </c>
    </row>
    <row r="476">
      <c r="A476" s="4">
        <v>90576.0</v>
      </c>
      <c r="B476" s="3" t="s">
        <v>1876</v>
      </c>
      <c r="C476" s="5">
        <v>46170.553298611114</v>
      </c>
      <c r="D476" s="3" t="s">
        <v>724</v>
      </c>
      <c r="E476" s="3" t="s">
        <v>1877</v>
      </c>
      <c r="F476" s="4">
        <v>9.007692184E9</v>
      </c>
      <c r="G476" s="3" t="s">
        <v>50</v>
      </c>
      <c r="H476" s="3" t="s">
        <v>175</v>
      </c>
      <c r="I476" s="3" t="s">
        <v>1482</v>
      </c>
      <c r="J476" s="3" t="s">
        <v>47</v>
      </c>
    </row>
    <row r="477">
      <c r="A477" s="4">
        <v>90577.0</v>
      </c>
      <c r="B477" s="3" t="s">
        <v>1878</v>
      </c>
      <c r="C477" s="5">
        <v>46170.573067129626</v>
      </c>
      <c r="D477" s="3" t="s">
        <v>727</v>
      </c>
      <c r="E477" s="3" t="s">
        <v>1879</v>
      </c>
      <c r="F477" s="4">
        <v>9.868282369E9</v>
      </c>
      <c r="G477" s="3" t="s">
        <v>50</v>
      </c>
      <c r="H477" s="3" t="s">
        <v>54</v>
      </c>
      <c r="I477" s="3" t="s">
        <v>145</v>
      </c>
      <c r="J477" s="3" t="s">
        <v>47</v>
      </c>
    </row>
    <row r="478">
      <c r="A478" s="4">
        <v>90578.0</v>
      </c>
      <c r="B478" s="3" t="s">
        <v>1880</v>
      </c>
      <c r="C478" s="5">
        <v>46170.611666666664</v>
      </c>
      <c r="D478" s="3" t="s">
        <v>724</v>
      </c>
      <c r="E478" s="3" t="s">
        <v>1881</v>
      </c>
      <c r="F478" s="4">
        <v>7.827165391E9</v>
      </c>
      <c r="G478" s="3" t="s">
        <v>50</v>
      </c>
      <c r="H478" s="3" t="s">
        <v>54</v>
      </c>
      <c r="I478" s="3" t="s">
        <v>1178</v>
      </c>
      <c r="J478" s="3" t="s">
        <v>47</v>
      </c>
    </row>
    <row r="479">
      <c r="A479" s="4">
        <v>90579.0</v>
      </c>
      <c r="B479" s="3" t="s">
        <v>1882</v>
      </c>
      <c r="C479" s="5">
        <v>46170.66908564815</v>
      </c>
      <c r="D479" s="3" t="s">
        <v>727</v>
      </c>
      <c r="E479" s="3" t="s">
        <v>1883</v>
      </c>
      <c r="F479" s="4">
        <v>9.483974064E9</v>
      </c>
      <c r="G479" s="3" t="s">
        <v>50</v>
      </c>
      <c r="H479" s="3" t="s">
        <v>162</v>
      </c>
      <c r="I479" s="3" t="s">
        <v>161</v>
      </c>
      <c r="J479" s="3" t="s">
        <v>47</v>
      </c>
    </row>
    <row r="480">
      <c r="A480" s="4">
        <v>90580.0</v>
      </c>
      <c r="B480" s="3" t="s">
        <v>1884</v>
      </c>
      <c r="C480" s="5">
        <v>46170.66957175926</v>
      </c>
      <c r="D480" s="3" t="s">
        <v>724</v>
      </c>
      <c r="E480" s="3" t="s">
        <v>1885</v>
      </c>
      <c r="F480" s="4">
        <v>7.986455185E9</v>
      </c>
      <c r="G480" s="3" t="s">
        <v>50</v>
      </c>
      <c r="H480" s="3" t="s">
        <v>49</v>
      </c>
      <c r="I480" s="3" t="s">
        <v>328</v>
      </c>
      <c r="J480" s="3" t="s">
        <v>47</v>
      </c>
    </row>
    <row r="481">
      <c r="A481" s="4">
        <v>90581.0</v>
      </c>
      <c r="B481" s="3" t="s">
        <v>1886</v>
      </c>
      <c r="C481" s="5">
        <v>46170.67134259259</v>
      </c>
      <c r="D481" s="3" t="s">
        <v>727</v>
      </c>
      <c r="E481" s="3" t="s">
        <v>1887</v>
      </c>
      <c r="F481" s="4">
        <v>9.361490315E9</v>
      </c>
      <c r="G481" s="3" t="s">
        <v>50</v>
      </c>
      <c r="H481" s="3" t="s">
        <v>112</v>
      </c>
      <c r="I481" s="3" t="s">
        <v>508</v>
      </c>
      <c r="J481" s="3" t="s">
        <v>47</v>
      </c>
    </row>
    <row r="482">
      <c r="A482" s="4">
        <v>90584.0</v>
      </c>
      <c r="B482" s="3" t="s">
        <v>1050</v>
      </c>
      <c r="C482" s="5">
        <v>46170.789513888885</v>
      </c>
      <c r="D482" s="3" t="s">
        <v>727</v>
      </c>
      <c r="E482" s="3" t="s">
        <v>1888</v>
      </c>
      <c r="F482" s="4">
        <v>9.167496306E9</v>
      </c>
      <c r="G482" s="3" t="s">
        <v>50</v>
      </c>
      <c r="H482" s="3" t="s">
        <v>64</v>
      </c>
      <c r="I482" s="3" t="s">
        <v>84</v>
      </c>
      <c r="J482" s="3" t="s">
        <v>47</v>
      </c>
    </row>
    <row r="483">
      <c r="A483" s="4">
        <v>90585.0</v>
      </c>
      <c r="B483" s="3" t="s">
        <v>1889</v>
      </c>
      <c r="C483" s="5">
        <v>46170.82784722222</v>
      </c>
      <c r="D483" s="3" t="s">
        <v>724</v>
      </c>
      <c r="E483" s="3" t="s">
        <v>1890</v>
      </c>
      <c r="F483" s="4">
        <v>9.330264881E9</v>
      </c>
      <c r="G483" s="3" t="s">
        <v>50</v>
      </c>
      <c r="H483" s="3" t="s">
        <v>175</v>
      </c>
      <c r="I483" s="3" t="s">
        <v>1891</v>
      </c>
      <c r="J483" s="3" t="s">
        <v>47</v>
      </c>
    </row>
    <row r="484">
      <c r="A484" s="4">
        <v>90586.0</v>
      </c>
      <c r="B484" s="3" t="s">
        <v>1892</v>
      </c>
      <c r="C484" s="5">
        <v>46170.89542824074</v>
      </c>
      <c r="D484" s="3" t="s">
        <v>724</v>
      </c>
      <c r="E484" s="3" t="s">
        <v>1893</v>
      </c>
      <c r="F484" s="4">
        <v>9.717321098E9</v>
      </c>
      <c r="G484" s="3" t="s">
        <v>50</v>
      </c>
      <c r="H484" s="3" t="s">
        <v>140</v>
      </c>
      <c r="I484" s="3" t="s">
        <v>139</v>
      </c>
      <c r="J484" s="3" t="s">
        <v>47</v>
      </c>
    </row>
    <row r="485">
      <c r="A485" s="4">
        <v>90587.0</v>
      </c>
      <c r="B485" s="3" t="s">
        <v>1894</v>
      </c>
      <c r="C485" s="5">
        <v>46170.90987268519</v>
      </c>
      <c r="D485" s="3" t="s">
        <v>724</v>
      </c>
      <c r="E485" s="3" t="s">
        <v>1895</v>
      </c>
      <c r="F485" s="19">
        <v>7.7778E11</v>
      </c>
      <c r="G485" s="3" t="s">
        <v>50</v>
      </c>
      <c r="H485" s="3" t="s">
        <v>292</v>
      </c>
      <c r="I485" s="3" t="s">
        <v>1896</v>
      </c>
      <c r="J485" s="12"/>
      <c r="K485" s="12"/>
    </row>
    <row r="486">
      <c r="A486" s="4">
        <v>90588.0</v>
      </c>
      <c r="B486" s="3" t="s">
        <v>1897</v>
      </c>
      <c r="C486" s="5">
        <v>46170.95077546296</v>
      </c>
      <c r="D486" s="3" t="s">
        <v>724</v>
      </c>
      <c r="E486" s="3" t="s">
        <v>1898</v>
      </c>
      <c r="F486" s="4">
        <v>7.015102899E9</v>
      </c>
      <c r="G486" s="3" t="s">
        <v>50</v>
      </c>
      <c r="H486" s="3" t="s">
        <v>140</v>
      </c>
      <c r="I486" s="3" t="s">
        <v>139</v>
      </c>
      <c r="J486" s="3" t="s">
        <v>47</v>
      </c>
    </row>
    <row r="487">
      <c r="A487" s="4">
        <v>90589.0</v>
      </c>
      <c r="B487" s="3" t="s">
        <v>1899</v>
      </c>
      <c r="C487" s="5">
        <v>46171.00383101852</v>
      </c>
      <c r="D487" s="3" t="s">
        <v>724</v>
      </c>
      <c r="E487" s="3" t="s">
        <v>1900</v>
      </c>
      <c r="F487" s="4">
        <v>8.778130976E9</v>
      </c>
      <c r="G487" s="3" t="s">
        <v>50</v>
      </c>
      <c r="H487" s="3" t="s">
        <v>112</v>
      </c>
      <c r="I487" s="3" t="s">
        <v>1901</v>
      </c>
      <c r="J487" s="3" t="s">
        <v>47</v>
      </c>
    </row>
    <row r="488">
      <c r="A488" s="4">
        <v>90590.0</v>
      </c>
      <c r="B488" s="3" t="s">
        <v>1902</v>
      </c>
      <c r="C488" s="5">
        <v>46171.036516203705</v>
      </c>
      <c r="D488" s="3" t="s">
        <v>727</v>
      </c>
      <c r="E488" s="3" t="s">
        <v>1903</v>
      </c>
      <c r="F488" s="4">
        <v>7.851957088E9</v>
      </c>
      <c r="G488" s="3" t="s">
        <v>50</v>
      </c>
      <c r="H488" s="3" t="s">
        <v>292</v>
      </c>
      <c r="I488" s="3" t="s">
        <v>759</v>
      </c>
      <c r="J488" s="3" t="s">
        <v>47</v>
      </c>
    </row>
    <row r="489">
      <c r="A489" s="4">
        <v>90591.0</v>
      </c>
      <c r="B489" s="3" t="s">
        <v>1904</v>
      </c>
      <c r="C489" s="5">
        <v>46171.06616898148</v>
      </c>
      <c r="D489" s="3" t="s">
        <v>724</v>
      </c>
      <c r="E489" s="3" t="s">
        <v>1905</v>
      </c>
      <c r="F489" s="4">
        <v>6.094685012E9</v>
      </c>
      <c r="G489" s="3" t="s">
        <v>612</v>
      </c>
      <c r="H489" s="3" t="s">
        <v>1285</v>
      </c>
      <c r="I489" s="3" t="s">
        <v>1286</v>
      </c>
      <c r="J489" s="3" t="s">
        <v>47</v>
      </c>
    </row>
    <row r="490">
      <c r="A490" s="4">
        <v>90592.0</v>
      </c>
      <c r="B490" s="3" t="s">
        <v>1906</v>
      </c>
      <c r="C490" s="5">
        <v>46171.09559027778</v>
      </c>
      <c r="D490" s="3" t="s">
        <v>724</v>
      </c>
      <c r="E490" s="3" t="s">
        <v>1907</v>
      </c>
      <c r="F490" s="4">
        <v>9.182691576E9</v>
      </c>
      <c r="G490" s="3" t="s">
        <v>50</v>
      </c>
      <c r="H490" s="3" t="s">
        <v>162</v>
      </c>
      <c r="I490" s="3" t="s">
        <v>161</v>
      </c>
      <c r="J490" s="3" t="s">
        <v>47</v>
      </c>
    </row>
    <row r="491">
      <c r="A491" s="4">
        <v>90593.0</v>
      </c>
      <c r="B491" s="3" t="s">
        <v>1908</v>
      </c>
      <c r="C491" s="5">
        <v>46171.44388888889</v>
      </c>
      <c r="D491" s="3" t="s">
        <v>727</v>
      </c>
      <c r="E491" s="3" t="s">
        <v>1909</v>
      </c>
      <c r="F491" s="4">
        <v>8.78913659E8</v>
      </c>
      <c r="G491" s="3" t="s">
        <v>50</v>
      </c>
      <c r="H491" s="3" t="s">
        <v>162</v>
      </c>
      <c r="I491" s="3" t="s">
        <v>161</v>
      </c>
      <c r="J491" s="3" t="s">
        <v>47</v>
      </c>
    </row>
    <row r="492">
      <c r="A492" s="4">
        <v>90594.0</v>
      </c>
      <c r="B492" s="3" t="s">
        <v>1910</v>
      </c>
      <c r="C492" s="5">
        <v>46171.485625</v>
      </c>
      <c r="D492" s="3" t="s">
        <v>727</v>
      </c>
      <c r="E492" s="3" t="s">
        <v>1911</v>
      </c>
      <c r="F492" s="4">
        <v>8.328945565E9</v>
      </c>
      <c r="G492" s="3" t="s">
        <v>50</v>
      </c>
      <c r="H492" s="3" t="s">
        <v>132</v>
      </c>
      <c r="I492" s="3" t="s">
        <v>1912</v>
      </c>
      <c r="J492" s="3" t="s">
        <v>47</v>
      </c>
    </row>
    <row r="493">
      <c r="A493" s="4">
        <v>90595.0</v>
      </c>
      <c r="B493" s="3" t="s">
        <v>1913</v>
      </c>
      <c r="C493" s="5">
        <v>46171.8140625</v>
      </c>
      <c r="D493" s="3" t="s">
        <v>727</v>
      </c>
      <c r="E493" s="3" t="s">
        <v>1914</v>
      </c>
      <c r="F493" s="4">
        <v>9.591205303E9</v>
      </c>
      <c r="G493" s="3" t="s">
        <v>50</v>
      </c>
      <c r="H493" s="3" t="s">
        <v>162</v>
      </c>
      <c r="I493" s="3" t="s">
        <v>161</v>
      </c>
      <c r="J493" s="3" t="s">
        <v>47</v>
      </c>
    </row>
    <row r="494">
      <c r="A494" s="4">
        <v>90596.0</v>
      </c>
      <c r="B494" s="3" t="s">
        <v>1915</v>
      </c>
      <c r="C494" s="5">
        <v>46171.85597222222</v>
      </c>
      <c r="D494" s="3" t="s">
        <v>727</v>
      </c>
      <c r="E494" s="3" t="s">
        <v>1916</v>
      </c>
      <c r="F494" s="4">
        <v>9.560281011E9</v>
      </c>
      <c r="G494" s="3" t="s">
        <v>50</v>
      </c>
      <c r="H494" s="3" t="s">
        <v>54</v>
      </c>
      <c r="I494" s="3" t="s">
        <v>1618</v>
      </c>
      <c r="J494" s="3" t="s">
        <v>47</v>
      </c>
    </row>
    <row r="495">
      <c r="A495" s="4">
        <v>90597.0</v>
      </c>
      <c r="B495" s="3" t="s">
        <v>1917</v>
      </c>
      <c r="C495" s="5">
        <v>46171.877650462964</v>
      </c>
      <c r="D495" s="3" t="s">
        <v>724</v>
      </c>
      <c r="E495" s="12"/>
      <c r="F495" s="12"/>
      <c r="G495" s="3" t="s">
        <v>50</v>
      </c>
      <c r="H495" s="3" t="s">
        <v>135</v>
      </c>
      <c r="I495" s="3" t="s">
        <v>1364</v>
      </c>
      <c r="J495" s="3" t="s">
        <v>47</v>
      </c>
    </row>
    <row r="496">
      <c r="A496" s="4">
        <v>90598.0</v>
      </c>
      <c r="B496" s="3" t="s">
        <v>1918</v>
      </c>
      <c r="C496" s="5">
        <v>46171.97189814815</v>
      </c>
      <c r="D496" s="3" t="s">
        <v>724</v>
      </c>
      <c r="E496" s="3" t="s">
        <v>1919</v>
      </c>
      <c r="F496" s="4">
        <v>7.377374039E9</v>
      </c>
      <c r="G496" s="3" t="s">
        <v>50</v>
      </c>
      <c r="H496" s="3" t="s">
        <v>132</v>
      </c>
      <c r="I496" s="3" t="s">
        <v>1920</v>
      </c>
      <c r="J496" s="3" t="s">
        <v>47</v>
      </c>
    </row>
    <row r="497">
      <c r="A497" s="4">
        <v>90599.0</v>
      </c>
      <c r="B497" s="3" t="s">
        <v>1921</v>
      </c>
      <c r="C497" s="5">
        <v>46172.00262731482</v>
      </c>
      <c r="D497" s="3" t="s">
        <v>727</v>
      </c>
      <c r="E497" s="3" t="s">
        <v>1922</v>
      </c>
      <c r="F497" s="4">
        <v>8.824525151E9</v>
      </c>
      <c r="G497" s="3" t="s">
        <v>50</v>
      </c>
      <c r="H497" s="3" t="s">
        <v>292</v>
      </c>
      <c r="I497" s="3" t="s">
        <v>1923</v>
      </c>
      <c r="J497" s="12"/>
      <c r="K497" s="12"/>
    </row>
    <row r="498">
      <c r="A498" s="4">
        <v>90600.0</v>
      </c>
      <c r="B498" s="3" t="s">
        <v>1924</v>
      </c>
      <c r="C498" s="5">
        <v>46172.07386574074</v>
      </c>
      <c r="D498" s="3" t="s">
        <v>724</v>
      </c>
      <c r="E498" s="3" t="s">
        <v>1925</v>
      </c>
      <c r="F498" s="4">
        <v>7.006613421E9</v>
      </c>
      <c r="G498" s="3" t="s">
        <v>50</v>
      </c>
      <c r="H498" s="3" t="s">
        <v>162</v>
      </c>
      <c r="I498" s="3" t="s">
        <v>1926</v>
      </c>
      <c r="J498" s="3" t="s">
        <v>47</v>
      </c>
    </row>
    <row r="499">
      <c r="A499" s="4">
        <v>90601.0</v>
      </c>
      <c r="B499" s="3" t="s">
        <v>1927</v>
      </c>
      <c r="C499" s="5">
        <v>46172.122719907406</v>
      </c>
      <c r="D499" s="3" t="s">
        <v>724</v>
      </c>
      <c r="E499" s="3" t="s">
        <v>1928</v>
      </c>
      <c r="F499" s="4">
        <v>9.404325297E9</v>
      </c>
      <c r="G499" s="3" t="s">
        <v>50</v>
      </c>
      <c r="H499" s="3" t="s">
        <v>64</v>
      </c>
      <c r="I499" s="3" t="s">
        <v>94</v>
      </c>
      <c r="J499" s="3" t="s">
        <v>47</v>
      </c>
    </row>
    <row r="500">
      <c r="A500" s="4">
        <v>90602.0</v>
      </c>
      <c r="B500" s="3" t="s">
        <v>1929</v>
      </c>
      <c r="C500" s="5">
        <v>46172.13600694444</v>
      </c>
      <c r="D500" s="3" t="s">
        <v>724</v>
      </c>
      <c r="E500" s="3" t="s">
        <v>1930</v>
      </c>
      <c r="F500" s="4">
        <v>9.084496975E9</v>
      </c>
      <c r="G500" s="3" t="s">
        <v>612</v>
      </c>
      <c r="H500" s="3" t="s">
        <v>1285</v>
      </c>
      <c r="I500" s="3" t="s">
        <v>1931</v>
      </c>
      <c r="J500" s="3" t="s">
        <v>47</v>
      </c>
    </row>
    <row r="501">
      <c r="A501" s="4">
        <v>90603.0</v>
      </c>
      <c r="B501" s="3" t="s">
        <v>1932</v>
      </c>
      <c r="C501" s="5">
        <v>46172.17221064815</v>
      </c>
      <c r="D501" s="3" t="s">
        <v>727</v>
      </c>
      <c r="E501" s="3" t="s">
        <v>1933</v>
      </c>
      <c r="F501" s="4">
        <v>4.088131311E9</v>
      </c>
      <c r="G501" s="3" t="s">
        <v>612</v>
      </c>
      <c r="H501" s="3" t="s">
        <v>1285</v>
      </c>
      <c r="I501" s="3" t="s">
        <v>1934</v>
      </c>
      <c r="J501" s="3" t="s">
        <v>47</v>
      </c>
    </row>
    <row r="502">
      <c r="A502" s="4">
        <v>90604.0</v>
      </c>
      <c r="B502" s="3" t="s">
        <v>1935</v>
      </c>
      <c r="C502" s="5">
        <v>46172.42741898148</v>
      </c>
      <c r="D502" s="3" t="s">
        <v>727</v>
      </c>
      <c r="E502" s="3" t="s">
        <v>1936</v>
      </c>
      <c r="F502" s="19">
        <v>1.7345E10</v>
      </c>
      <c r="G502" s="3" t="s">
        <v>612</v>
      </c>
      <c r="H502" s="3" t="s">
        <v>937</v>
      </c>
      <c r="I502" s="3" t="s">
        <v>1937</v>
      </c>
      <c r="J502" s="3" t="s">
        <v>47</v>
      </c>
    </row>
    <row r="503">
      <c r="A503" s="4">
        <v>90605.0</v>
      </c>
      <c r="B503" s="3" t="s">
        <v>1938</v>
      </c>
      <c r="C503" s="5">
        <v>46172.448900462965</v>
      </c>
      <c r="D503" s="3" t="s">
        <v>727</v>
      </c>
      <c r="E503" s="3" t="s">
        <v>1939</v>
      </c>
      <c r="F503" s="4">
        <v>9.970082823E9</v>
      </c>
      <c r="G503" s="3" t="s">
        <v>50</v>
      </c>
      <c r="H503" s="3" t="s">
        <v>64</v>
      </c>
      <c r="I503" s="3" t="s">
        <v>94</v>
      </c>
      <c r="J503" s="3" t="s">
        <v>47</v>
      </c>
    </row>
    <row r="504">
      <c r="A504" s="4">
        <v>90606.0</v>
      </c>
      <c r="B504" s="3" t="s">
        <v>1940</v>
      </c>
      <c r="C504" s="5">
        <v>46172.54189814815</v>
      </c>
      <c r="D504" s="3" t="s">
        <v>724</v>
      </c>
      <c r="E504" s="3" t="s">
        <v>1941</v>
      </c>
      <c r="F504" s="4">
        <v>7.987503132E9</v>
      </c>
      <c r="G504" s="3" t="s">
        <v>50</v>
      </c>
      <c r="H504" s="3" t="s">
        <v>157</v>
      </c>
      <c r="I504" s="3" t="s">
        <v>315</v>
      </c>
      <c r="J504" s="3" t="s">
        <v>47</v>
      </c>
    </row>
    <row r="505">
      <c r="A505" s="4">
        <v>90607.0</v>
      </c>
      <c r="B505" s="3" t="s">
        <v>1942</v>
      </c>
      <c r="C505" s="5">
        <v>46172.57320601852</v>
      </c>
      <c r="D505" s="3" t="s">
        <v>724</v>
      </c>
      <c r="E505" s="3" t="s">
        <v>1943</v>
      </c>
      <c r="F505" s="4">
        <v>8.291708154E9</v>
      </c>
      <c r="G505" s="3" t="s">
        <v>50</v>
      </c>
      <c r="H505" s="3" t="s">
        <v>64</v>
      </c>
      <c r="I505" s="3" t="s">
        <v>84</v>
      </c>
      <c r="J505" s="3" t="s">
        <v>47</v>
      </c>
    </row>
    <row r="506">
      <c r="A506" s="4">
        <v>90608.0</v>
      </c>
      <c r="B506" s="3" t="s">
        <v>1944</v>
      </c>
      <c r="C506" s="5">
        <v>46172.66961805556</v>
      </c>
      <c r="D506" s="3" t="s">
        <v>724</v>
      </c>
      <c r="E506" s="3" t="s">
        <v>1945</v>
      </c>
      <c r="F506" s="4">
        <v>7.007604384E9</v>
      </c>
      <c r="G506" s="3" t="s">
        <v>50</v>
      </c>
      <c r="H506" s="3" t="s">
        <v>54</v>
      </c>
      <c r="I506" s="3" t="s">
        <v>740</v>
      </c>
      <c r="J506" s="3" t="s">
        <v>47</v>
      </c>
    </row>
    <row r="507">
      <c r="A507" s="4">
        <v>90609.0</v>
      </c>
      <c r="B507" s="3" t="s">
        <v>1946</v>
      </c>
      <c r="C507" s="5">
        <v>46172.70070601852</v>
      </c>
      <c r="D507" s="3" t="s">
        <v>724</v>
      </c>
      <c r="E507" s="12"/>
      <c r="F507" s="12"/>
      <c r="G507" s="3" t="s">
        <v>50</v>
      </c>
      <c r="H507" s="3" t="s">
        <v>132</v>
      </c>
      <c r="I507" s="3" t="s">
        <v>972</v>
      </c>
      <c r="J507" s="3" t="s">
        <v>47</v>
      </c>
    </row>
    <row r="508">
      <c r="A508" s="4">
        <v>90610.0</v>
      </c>
      <c r="B508" s="3" t="s">
        <v>1947</v>
      </c>
      <c r="C508" s="5">
        <v>46172.705</v>
      </c>
      <c r="D508" s="3" t="s">
        <v>727</v>
      </c>
      <c r="E508" s="3" t="s">
        <v>1948</v>
      </c>
      <c r="F508" s="4">
        <v>9.818974743E9</v>
      </c>
      <c r="G508" s="3" t="s">
        <v>50</v>
      </c>
      <c r="H508" s="3" t="s">
        <v>140</v>
      </c>
      <c r="I508" s="3" t="s">
        <v>139</v>
      </c>
      <c r="J508" s="3" t="s">
        <v>47</v>
      </c>
    </row>
    <row r="509">
      <c r="A509" s="4">
        <v>90611.0</v>
      </c>
      <c r="B509" s="3" t="s">
        <v>1949</v>
      </c>
      <c r="C509" s="5">
        <v>46172.76070601852</v>
      </c>
      <c r="D509" s="3" t="s">
        <v>724</v>
      </c>
      <c r="E509" s="3" t="s">
        <v>1950</v>
      </c>
      <c r="F509" s="4">
        <v>8.66010251E9</v>
      </c>
      <c r="G509" s="3" t="s">
        <v>50</v>
      </c>
      <c r="H509" s="3" t="s">
        <v>162</v>
      </c>
      <c r="I509" s="3" t="s">
        <v>161</v>
      </c>
      <c r="J509" s="3" t="s">
        <v>47</v>
      </c>
    </row>
    <row r="510">
      <c r="A510" s="4">
        <v>90612.0</v>
      </c>
      <c r="B510" s="3" t="s">
        <v>1951</v>
      </c>
      <c r="C510" s="5">
        <v>46172.786458333336</v>
      </c>
      <c r="D510" s="3" t="s">
        <v>724</v>
      </c>
      <c r="E510" s="3" t="s">
        <v>1952</v>
      </c>
      <c r="F510" s="19">
        <v>9.1835E11</v>
      </c>
      <c r="G510" s="3" t="s">
        <v>1953</v>
      </c>
      <c r="H510" s="3" t="s">
        <v>1954</v>
      </c>
      <c r="I510" s="3" t="s">
        <v>1955</v>
      </c>
      <c r="J510" s="3" t="s">
        <v>47</v>
      </c>
    </row>
    <row r="511">
      <c r="A511" s="4">
        <v>90613.0</v>
      </c>
      <c r="B511" s="3" t="s">
        <v>1956</v>
      </c>
      <c r="C511" s="5">
        <v>46172.82975694445</v>
      </c>
      <c r="D511" s="3" t="s">
        <v>724</v>
      </c>
      <c r="E511" s="3" t="s">
        <v>1957</v>
      </c>
      <c r="F511" s="4">
        <v>9.711157525E9</v>
      </c>
      <c r="G511" s="3" t="s">
        <v>50</v>
      </c>
      <c r="H511" s="3" t="s">
        <v>140</v>
      </c>
      <c r="I511" s="3" t="s">
        <v>139</v>
      </c>
      <c r="J511" s="3" t="s">
        <v>47</v>
      </c>
    </row>
    <row r="512">
      <c r="A512" s="4">
        <v>90614.0</v>
      </c>
      <c r="B512" s="3" t="s">
        <v>1958</v>
      </c>
      <c r="C512" s="5">
        <v>46172.90896990741</v>
      </c>
      <c r="D512" s="3" t="s">
        <v>727</v>
      </c>
      <c r="E512" s="3" t="s">
        <v>1959</v>
      </c>
      <c r="F512" s="4">
        <v>8.132004944E9</v>
      </c>
      <c r="G512" s="3" t="s">
        <v>50</v>
      </c>
      <c r="H512" s="3" t="s">
        <v>1960</v>
      </c>
      <c r="I512" s="3" t="s">
        <v>1961</v>
      </c>
      <c r="J512" s="3" t="s">
        <v>47</v>
      </c>
    </row>
    <row r="513">
      <c r="A513" s="4">
        <v>90615.0</v>
      </c>
      <c r="B513" s="3" t="s">
        <v>1962</v>
      </c>
      <c r="C513" s="5">
        <v>46172.95699074074</v>
      </c>
      <c r="D513" s="3" t="s">
        <v>724</v>
      </c>
      <c r="E513" s="3" t="s">
        <v>1963</v>
      </c>
      <c r="F513" s="4">
        <v>9.769317531E9</v>
      </c>
      <c r="G513" s="3" t="s">
        <v>50</v>
      </c>
      <c r="H513" s="3" t="s">
        <v>64</v>
      </c>
      <c r="I513" s="3" t="s">
        <v>307</v>
      </c>
      <c r="J513" s="3" t="s">
        <v>47</v>
      </c>
    </row>
    <row r="514">
      <c r="A514" s="4">
        <v>90616.0</v>
      </c>
      <c r="B514" s="3" t="s">
        <v>1964</v>
      </c>
      <c r="C514" s="5">
        <v>46172.984398148146</v>
      </c>
      <c r="D514" s="3" t="s">
        <v>724</v>
      </c>
      <c r="E514" s="3" t="s">
        <v>1965</v>
      </c>
      <c r="F514" s="4">
        <v>9.702872949E9</v>
      </c>
      <c r="G514" s="3" t="s">
        <v>50</v>
      </c>
      <c r="H514" s="3" t="s">
        <v>64</v>
      </c>
      <c r="I514" s="3" t="s">
        <v>84</v>
      </c>
      <c r="J514" s="3" t="s">
        <v>47</v>
      </c>
    </row>
    <row r="515">
      <c r="A515" s="4">
        <v>90617.0</v>
      </c>
      <c r="B515" s="3" t="s">
        <v>1966</v>
      </c>
      <c r="C515" s="5">
        <v>46173.37515046296</v>
      </c>
      <c r="D515" s="3" t="s">
        <v>724</v>
      </c>
      <c r="E515" s="3" t="s">
        <v>1967</v>
      </c>
      <c r="F515" s="4">
        <v>7.574807438E9</v>
      </c>
      <c r="G515" s="3" t="s">
        <v>50</v>
      </c>
      <c r="H515" s="3" t="s">
        <v>150</v>
      </c>
      <c r="I515" s="3" t="s">
        <v>548</v>
      </c>
      <c r="J515" s="3" t="s">
        <v>47</v>
      </c>
    </row>
    <row r="516">
      <c r="A516" s="4">
        <v>90618.0</v>
      </c>
      <c r="B516" s="3" t="s">
        <v>1968</v>
      </c>
      <c r="C516" s="5">
        <v>46173.385625</v>
      </c>
      <c r="D516" s="3" t="s">
        <v>727</v>
      </c>
      <c r="E516" s="3" t="s">
        <v>1969</v>
      </c>
      <c r="F516" s="4">
        <v>9.407981235E9</v>
      </c>
      <c r="G516" s="3" t="s">
        <v>50</v>
      </c>
      <c r="H516" s="3" t="s">
        <v>217</v>
      </c>
      <c r="I516" s="3" t="s">
        <v>1970</v>
      </c>
      <c r="J516" s="3" t="s">
        <v>47</v>
      </c>
    </row>
    <row r="517">
      <c r="A517" s="4">
        <v>90619.0</v>
      </c>
      <c r="B517" s="3" t="s">
        <v>1971</v>
      </c>
      <c r="C517" s="5">
        <v>46173.41805555556</v>
      </c>
      <c r="D517" s="3" t="s">
        <v>724</v>
      </c>
      <c r="E517" s="3" t="s">
        <v>1972</v>
      </c>
      <c r="F517" s="4">
        <v>9.007468172E9</v>
      </c>
      <c r="G517" s="3" t="s">
        <v>50</v>
      </c>
      <c r="H517" s="3" t="s">
        <v>175</v>
      </c>
      <c r="I517" s="3" t="s">
        <v>1482</v>
      </c>
      <c r="J517" s="3" t="s">
        <v>47</v>
      </c>
    </row>
    <row r="518">
      <c r="A518" s="4">
        <v>90620.0</v>
      </c>
      <c r="B518" s="3" t="s">
        <v>1973</v>
      </c>
      <c r="C518" s="5">
        <v>46173.43875</v>
      </c>
      <c r="D518" s="3" t="s">
        <v>724</v>
      </c>
      <c r="E518" s="12"/>
      <c r="F518" s="12"/>
      <c r="G518" s="3" t="s">
        <v>50</v>
      </c>
      <c r="H518" s="3" t="s">
        <v>140</v>
      </c>
      <c r="I518" s="3" t="s">
        <v>140</v>
      </c>
      <c r="J518" s="3" t="s">
        <v>47</v>
      </c>
    </row>
    <row r="519">
      <c r="A519" s="4">
        <v>90621.0</v>
      </c>
      <c r="B519" s="3" t="s">
        <v>1974</v>
      </c>
      <c r="C519" s="5">
        <v>46173.448113425926</v>
      </c>
      <c r="D519" s="3" t="s">
        <v>727</v>
      </c>
      <c r="E519" s="3" t="s">
        <v>1975</v>
      </c>
      <c r="F519" s="4">
        <v>9.891609004E9</v>
      </c>
      <c r="G519" s="3" t="s">
        <v>50</v>
      </c>
      <c r="H519" s="3" t="s">
        <v>117</v>
      </c>
      <c r="I519" s="3" t="s">
        <v>331</v>
      </c>
      <c r="J519" s="3" t="s">
        <v>47</v>
      </c>
    </row>
    <row r="520">
      <c r="A520" s="4">
        <v>90622.0</v>
      </c>
      <c r="B520" s="3" t="s">
        <v>1976</v>
      </c>
      <c r="C520" s="5">
        <v>46173.46299768519</v>
      </c>
      <c r="D520" s="3" t="s">
        <v>724</v>
      </c>
      <c r="E520" s="3" t="s">
        <v>1977</v>
      </c>
      <c r="F520" s="4">
        <v>8.847729349E9</v>
      </c>
      <c r="G520" s="3" t="s">
        <v>50</v>
      </c>
      <c r="H520" s="3" t="s">
        <v>64</v>
      </c>
      <c r="I520" s="3" t="s">
        <v>1978</v>
      </c>
      <c r="J520" s="3" t="s">
        <v>47</v>
      </c>
    </row>
    <row r="521">
      <c r="A521" s="4">
        <v>90623.0</v>
      </c>
      <c r="B521" s="3" t="s">
        <v>1979</v>
      </c>
      <c r="C521" s="5">
        <v>46173.47479166667</v>
      </c>
      <c r="D521" s="3" t="s">
        <v>724</v>
      </c>
      <c r="E521" s="3" t="s">
        <v>1980</v>
      </c>
      <c r="F521" s="4">
        <v>9.315478914E9</v>
      </c>
      <c r="G521" s="3" t="s">
        <v>50</v>
      </c>
      <c r="H521" s="3" t="s">
        <v>140</v>
      </c>
      <c r="I521" s="3" t="s">
        <v>140</v>
      </c>
      <c r="J521" s="3" t="s">
        <v>47</v>
      </c>
    </row>
  </sheetData>
  <mergeCells count="509"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3:K373"/>
    <mergeCell ref="J374:K374"/>
    <mergeCell ref="J375:K375"/>
    <mergeCell ref="J376:K376"/>
    <mergeCell ref="J384:K384"/>
    <mergeCell ref="J385:K385"/>
    <mergeCell ref="J386:K386"/>
    <mergeCell ref="C387:D387"/>
    <mergeCell ref="J387:K387"/>
    <mergeCell ref="J388:K388"/>
    <mergeCell ref="J377:K377"/>
    <mergeCell ref="J378:K378"/>
    <mergeCell ref="J379:K379"/>
    <mergeCell ref="J380:K380"/>
    <mergeCell ref="J381:K381"/>
    <mergeCell ref="J382:K382"/>
    <mergeCell ref="J383:K383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I400:J400"/>
    <mergeCell ref="J402:K402"/>
    <mergeCell ref="J403:K403"/>
    <mergeCell ref="J404:K404"/>
    <mergeCell ref="J405:K405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7:K437"/>
    <mergeCell ref="J438:K438"/>
    <mergeCell ref="J439:K439"/>
    <mergeCell ref="J440:K440"/>
    <mergeCell ref="J441:K441"/>
    <mergeCell ref="J492:K492"/>
    <mergeCell ref="J493:K493"/>
    <mergeCell ref="J494:K494"/>
    <mergeCell ref="J495:K495"/>
    <mergeCell ref="J496:K496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07:K507"/>
    <mergeCell ref="J508:K508"/>
    <mergeCell ref="J509:K509"/>
    <mergeCell ref="J510:K510"/>
    <mergeCell ref="J511:K511"/>
    <mergeCell ref="J512:K512"/>
    <mergeCell ref="J513:K513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6:K486"/>
    <mergeCell ref="J487:K487"/>
    <mergeCell ref="J488:K488"/>
    <mergeCell ref="J489:K489"/>
    <mergeCell ref="J490:K490"/>
    <mergeCell ref="J491:K49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2:K42"/>
    <mergeCell ref="J43:K43"/>
    <mergeCell ref="J44:K44"/>
    <mergeCell ref="J45:K45"/>
    <mergeCell ref="J46:K46"/>
    <mergeCell ref="J47:K47"/>
    <mergeCell ref="J48:K48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C82:D82"/>
    <mergeCell ref="E82:G82"/>
    <mergeCell ref="J75:K75"/>
    <mergeCell ref="J76:K76"/>
    <mergeCell ref="J77:K77"/>
    <mergeCell ref="J78:K78"/>
    <mergeCell ref="J79:K79"/>
    <mergeCell ref="J80:K80"/>
    <mergeCell ref="J81:K81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8:K118"/>
    <mergeCell ref="C119:D119"/>
    <mergeCell ref="J119:K119"/>
    <mergeCell ref="C121:D121"/>
    <mergeCell ref="J121:K121"/>
    <mergeCell ref="C122:D122"/>
    <mergeCell ref="J122:K122"/>
    <mergeCell ref="J111:K111"/>
    <mergeCell ref="J112:K112"/>
    <mergeCell ref="J113:K113"/>
    <mergeCell ref="J114:K114"/>
    <mergeCell ref="J115:K115"/>
    <mergeCell ref="J116:K116"/>
    <mergeCell ref="J117:K117"/>
    <mergeCell ref="J120:K120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7:K137"/>
    <mergeCell ref="J138:K138"/>
    <mergeCell ref="J139:K139"/>
    <mergeCell ref="J140:K140"/>
    <mergeCell ref="J141:K141"/>
    <mergeCell ref="J142:K142"/>
    <mergeCell ref="J143:K143"/>
    <mergeCell ref="J145:K145"/>
    <mergeCell ref="J146:K146"/>
    <mergeCell ref="J147:K147"/>
    <mergeCell ref="J148:K148"/>
    <mergeCell ref="C149:D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10:K210"/>
    <mergeCell ref="C211:D211"/>
    <mergeCell ref="E211:F211"/>
    <mergeCell ref="J202:K202"/>
    <mergeCell ref="J203:K203"/>
    <mergeCell ref="J205:K205"/>
    <mergeCell ref="J206:K206"/>
    <mergeCell ref="J207:K207"/>
    <mergeCell ref="J208:K208"/>
    <mergeCell ref="J209:K209"/>
    <mergeCell ref="J212:K212"/>
    <mergeCell ref="J213:K213"/>
    <mergeCell ref="J214:K214"/>
    <mergeCell ref="C215:D215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</mergeCells>
  <drawing r:id="rId1"/>
</worksheet>
</file>