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VT" sheetId="1" r:id="rId5"/>
    <sheet state="visible" name="Dropped VT" sheetId="2" r:id="rId6"/>
    <sheet state="visible" name="Rejected VT" sheetId="3" r:id="rId7"/>
    <sheet state="visible" name="Newly Registered VT " sheetId="4" r:id="rId8"/>
  </sheets>
  <definedNames>
    <definedName hidden="1" localSheetId="0" name="_xlnm._FilterDatabase">'Active VT'!$A$1:$AL$160</definedName>
  </definedNames>
  <calcPr/>
</workbook>
</file>

<file path=xl/sharedStrings.xml><?xml version="1.0" encoding="utf-8"?>
<sst xmlns="http://schemas.openxmlformats.org/spreadsheetml/2006/main" count="8374" uniqueCount="2228">
  <si>
    <t>Title</t>
  </si>
  <si>
    <t>Offering id</t>
  </si>
  <si>
    <t>Offering start</t>
  </si>
  <si>
    <t>Offering end</t>
  </si>
  <si>
    <t>Offering status</t>
  </si>
  <si>
    <t>Volunteer id</t>
  </si>
  <si>
    <t>Volunteer name</t>
  </si>
  <si>
    <t>Joined(ev)</t>
  </si>
  <si>
    <t>Reference</t>
  </si>
  <si>
    <t>Residence city</t>
  </si>
  <si>
    <t>Residence state</t>
  </si>
  <si>
    <t>Residence country</t>
  </si>
  <si>
    <t>Profession</t>
  </si>
  <si>
    <t>Current job</t>
  </si>
  <si>
    <t>Email</t>
  </si>
  <si>
    <t>First session</t>
  </si>
  <si>
    <t>Latest session</t>
  </si>
  <si>
    <t>Center id</t>
  </si>
  <si>
    <t>Center name</t>
  </si>
  <si>
    <t>State</t>
  </si>
  <si>
    <t>District</t>
  </si>
  <si>
    <t>Donor</t>
  </si>
  <si>
    <t>Region</t>
  </si>
  <si>
    <t>Sub project</t>
  </si>
  <si>
    <t>Language</t>
  </si>
  <si>
    <t>Board</t>
  </si>
  <si>
    <t>Grade</t>
  </si>
  <si>
    <t>Subject</t>
  </si>
  <si>
    <t>Registered</t>
  </si>
  <si>
    <t>Enrolled</t>
  </si>
  <si>
    <t>Attendance%</t>
  </si>
  <si>
    <t>CLH</t>
  </si>
  <si>
    <t>Planned</t>
  </si>
  <si>
    <t>Scheduled</t>
  </si>
  <si>
    <t>Completed</t>
  </si>
  <si>
    <t>Offline</t>
  </si>
  <si>
    <t>Cancelled</t>
  </si>
  <si>
    <t>Total hours(Comp+Offline)</t>
  </si>
  <si>
    <t>AY-26-27</t>
  </si>
  <si>
    <t>13/04/26</t>
  </si>
  <si>
    <t>30/05/26</t>
  </si>
  <si>
    <t>Running</t>
  </si>
  <si>
    <t>Aaina Narang</t>
  </si>
  <si>
    <t>Internet Search</t>
  </si>
  <si>
    <t>Jalandhar</t>
  </si>
  <si>
    <t>Punjab</t>
  </si>
  <si>
    <t>India</t>
  </si>
  <si>
    <t>corporates</t>
  </si>
  <si>
    <t>Marketer</t>
  </si>
  <si>
    <t>aainanarang2911@gmail.com</t>
  </si>
  <si>
    <t>23/04/26</t>
  </si>
  <si>
    <t>30/04/26</t>
  </si>
  <si>
    <t>KGBV Atraulia</t>
  </si>
  <si>
    <t>Uttar Pradesh</t>
  </si>
  <si>
    <t>AZAMGARH</t>
  </si>
  <si>
    <t>EY GDS</t>
  </si>
  <si>
    <t>R2</t>
  </si>
  <si>
    <t>DCP</t>
  </si>
  <si>
    <t>Hindi</t>
  </si>
  <si>
    <t>eVidyaloka</t>
  </si>
  <si>
    <t>Guest Sessions</t>
  </si>
  <si>
    <t>Aaradhy Bhavsar</t>
  </si>
  <si>
    <t>Aurangabad</t>
  </si>
  <si>
    <t>Maharashtra</t>
  </si>
  <si>
    <t>student_ug</t>
  </si>
  <si>
    <t>student</t>
  </si>
  <si>
    <t>aaradhybhavsar28@gmail.com</t>
  </si>
  <si>
    <t>17/04/26</t>
  </si>
  <si>
    <t>25/04/26</t>
  </si>
  <si>
    <t>KGBV Banagram Nichlaul</t>
  </si>
  <si>
    <t>MAHARAJGANJ</t>
  </si>
  <si>
    <t>Microsoft - EmpowerED</t>
  </si>
  <si>
    <t>Empowered Ed</t>
  </si>
  <si>
    <t>Aashish Subedi</t>
  </si>
  <si>
    <t>Kathmandu</t>
  </si>
  <si>
    <t>Bagmati</t>
  </si>
  <si>
    <t>Nepal</t>
  </si>
  <si>
    <t>student_pg</t>
  </si>
  <si>
    <t>PhdCandidate</t>
  </si>
  <si>
    <t>aasubedi108@gmail.com</t>
  </si>
  <si>
    <t>KGBV Barhani</t>
  </si>
  <si>
    <t>SIDDHARTHNAGAR</t>
  </si>
  <si>
    <t>Concise content 1</t>
  </si>
  <si>
    <t>31/12/26</t>
  </si>
  <si>
    <t>Aayushi Trivedi</t>
  </si>
  <si>
    <t>Mumbai</t>
  </si>
  <si>
    <t>Data Operations Analyst</t>
  </si>
  <si>
    <t>aayutrivedi13@gmail.com</t>
  </si>
  <si>
    <t>29/04/26</t>
  </si>
  <si>
    <t>GMS Jallian</t>
  </si>
  <si>
    <t>Jammu¬†And¬†Kashmir</t>
  </si>
  <si>
    <t>PUNCH</t>
  </si>
  <si>
    <t>Indian Army</t>
  </si>
  <si>
    <t>R1</t>
  </si>
  <si>
    <t>Conceptual Learning - Math</t>
  </si>
  <si>
    <t>31/03/27</t>
  </si>
  <si>
    <t>Abhay Dwivedi</t>
  </si>
  <si>
    <t>Pune</t>
  </si>
  <si>
    <t>Intern</t>
  </si>
  <si>
    <t>abhay.dwivedi@solytics-partners.com</t>
  </si>
  <si>
    <t>27/04/26</t>
  </si>
  <si>
    <t>KGBV Koilsa</t>
  </si>
  <si>
    <t>Abhigna Kudumula</t>
  </si>
  <si>
    <t>Hyderabad</t>
  </si>
  <si>
    <t>Telangana</t>
  </si>
  <si>
    <t>others</t>
  </si>
  <si>
    <t>Doctor</t>
  </si>
  <si>
    <t>abhignar94@gmail.com</t>
  </si>
  <si>
    <t>KGBV Uska Bazar</t>
  </si>
  <si>
    <t>Abhishek Chauhan</t>
  </si>
  <si>
    <t>Lucknow</t>
  </si>
  <si>
    <t>Free</t>
  </si>
  <si>
    <t>abhi.mundane@gmail.com</t>
  </si>
  <si>
    <t>16/04/26</t>
  </si>
  <si>
    <t>KGBV Milkipur</t>
  </si>
  <si>
    <t>FAIZABAD</t>
  </si>
  <si>
    <t>Aishwarya S</t>
  </si>
  <si>
    <t>Kallakkurichi</t>
  </si>
  <si>
    <t>Tamil Nadu</t>
  </si>
  <si>
    <t>Btech IT final year student</t>
  </si>
  <si>
    <t>aishwaryasoff@gmail.com</t>
  </si>
  <si>
    <t>KGBV Dumariyaganj</t>
  </si>
  <si>
    <t>Akshat Bansal</t>
  </si>
  <si>
    <t>Yamunanagar</t>
  </si>
  <si>
    <t>Haryana</t>
  </si>
  <si>
    <t>Student</t>
  </si>
  <si>
    <t>bansalakshat7789@gmail.com</t>
  </si>
  <si>
    <t>21/04/26</t>
  </si>
  <si>
    <t>28/04/26</t>
  </si>
  <si>
    <t>UPS Itwa</t>
  </si>
  <si>
    <t>Retail</t>
  </si>
  <si>
    <t>Conceptual Learning Math-HM</t>
  </si>
  <si>
    <t>Akshay Dhawan</t>
  </si>
  <si>
    <t>KPMG Bangalore</t>
  </si>
  <si>
    <t>AssistantManager</t>
  </si>
  <si>
    <t>akshaydhawan79@gmail.com</t>
  </si>
  <si>
    <t>KGBV Brijmanganj</t>
  </si>
  <si>
    <t>Backfill</t>
  </si>
  <si>
    <t>Alka Sathua</t>
  </si>
  <si>
    <t>Khurda</t>
  </si>
  <si>
    <t>Odisha</t>
  </si>
  <si>
    <t>home_makers</t>
  </si>
  <si>
    <t>Home maker</t>
  </si>
  <si>
    <t>alkasathua7@gmail.com</t>
  </si>
  <si>
    <t>English</t>
  </si>
  <si>
    <t>15/04/26</t>
  </si>
  <si>
    <t>31/05/26</t>
  </si>
  <si>
    <t>UHS Nayanpur</t>
  </si>
  <si>
    <t>Jharkhand</t>
  </si>
  <si>
    <t>Giridih</t>
  </si>
  <si>
    <t>Amit Kumar</t>
  </si>
  <si>
    <t>Bengaluru</t>
  </si>
  <si>
    <t>Karnataka</t>
  </si>
  <si>
    <t>Softwareengineer</t>
  </si>
  <si>
    <t>amitkr2027@gmail.com</t>
  </si>
  <si>
    <t>22/04/26</t>
  </si>
  <si>
    <t>KGBV Deoghar - Hira</t>
  </si>
  <si>
    <t>Deoghar</t>
  </si>
  <si>
    <t>KGBV Deoghar - Moti</t>
  </si>
  <si>
    <t>Ananya Bansal</t>
  </si>
  <si>
    <t>Faridabad</t>
  </si>
  <si>
    <t>Studying</t>
  </si>
  <si>
    <t>ananyabansal2383@gmail.com</t>
  </si>
  <si>
    <t>KGBV Madhupur - Hira</t>
  </si>
  <si>
    <t>Anirudh Anand</t>
  </si>
  <si>
    <t>Student, working as an intern</t>
  </si>
  <si>
    <t>anirudhanand06@gmail.com</t>
  </si>
  <si>
    <t>Conceptual Learning Science-HM</t>
  </si>
  <si>
    <t>Ansh Khullar</t>
  </si>
  <si>
    <t>Firozpur</t>
  </si>
  <si>
    <t>hometutor</t>
  </si>
  <si>
    <t>anshkh1as@gmail.com</t>
  </si>
  <si>
    <t>KGBV Itava</t>
  </si>
  <si>
    <t>Anshika Awasthi</t>
  </si>
  <si>
    <t>Unnao</t>
  </si>
  <si>
    <t>business/self_employed</t>
  </si>
  <si>
    <t>Businessdevelopmentassociate</t>
  </si>
  <si>
    <t>anshikaawasthi0112@gmail.com</t>
  </si>
  <si>
    <t>14/04/26</t>
  </si>
  <si>
    <t>Anubha Rawat</t>
  </si>
  <si>
    <t>DCP Campaign</t>
  </si>
  <si>
    <t>Champawat</t>
  </si>
  <si>
    <t>Uttarakhand</t>
  </si>
  <si>
    <t>Homemaker</t>
  </si>
  <si>
    <t>anubharawat833@gmail.com</t>
  </si>
  <si>
    <t>MS Nakar Kote</t>
  </si>
  <si>
    <t>Jammu¬†and¬†Kashmir</t>
  </si>
  <si>
    <t>POONCH</t>
  </si>
  <si>
    <t>Conceptual Learning - Science</t>
  </si>
  <si>
    <t>Archana Sharma</t>
  </si>
  <si>
    <t>Joy of Reading</t>
  </si>
  <si>
    <t>Housewife</t>
  </si>
  <si>
    <t>a03111809@gmail.com</t>
  </si>
  <si>
    <t>20/04/26</t>
  </si>
  <si>
    <t>MS Koyritola</t>
  </si>
  <si>
    <t>Ashok Jain</t>
  </si>
  <si>
    <t>L&amp;T Technology Services</t>
  </si>
  <si>
    <t>Vadodara</t>
  </si>
  <si>
    <t>Gujarat</t>
  </si>
  <si>
    <t>ashokkumar.jain@ltts.com</t>
  </si>
  <si>
    <t>KGBV Jogiya</t>
  </si>
  <si>
    <t>Astha Nema</t>
  </si>
  <si>
    <t>Jabalpur</t>
  </si>
  <si>
    <t>Madhya Pradesh</t>
  </si>
  <si>
    <t>Fresher</t>
  </si>
  <si>
    <t>nemaastha29@gmail.com</t>
  </si>
  <si>
    <t>KGBV Gadaura</t>
  </si>
  <si>
    <t>AVANI TAYAL</t>
  </si>
  <si>
    <t>Raipur</t>
  </si>
  <si>
    <t>Chhattisgarh</t>
  </si>
  <si>
    <t>studentA</t>
  </si>
  <si>
    <t>avanitayal@gmail.com</t>
  </si>
  <si>
    <t>KGBV Sarwa -Moti</t>
  </si>
  <si>
    <t>KGBV Sarwa -Hira</t>
  </si>
  <si>
    <t>AZIZUR RAHMAN</t>
  </si>
  <si>
    <t>HPInc</t>
  </si>
  <si>
    <t>Technicalsolutionrepresentative</t>
  </si>
  <si>
    <t>azizurrahman063@gmail.com</t>
  </si>
  <si>
    <t>Bhavna Keswani</t>
  </si>
  <si>
    <t>Kalyan</t>
  </si>
  <si>
    <t>Tuition teacher</t>
  </si>
  <si>
    <t>bhavna_mkeswani@hotmail.com</t>
  </si>
  <si>
    <t>Bhvvya Singhal</t>
  </si>
  <si>
    <t>Vilnius</t>
  </si>
  <si>
    <t>Vilniaus</t>
  </si>
  <si>
    <t>Lithuania</t>
  </si>
  <si>
    <t>Trade matching specialist</t>
  </si>
  <si>
    <t>bhvvya@gmail.com</t>
  </si>
  <si>
    <t>KGBV Sarath - Hira</t>
  </si>
  <si>
    <t>KGBV Sarath - Moti</t>
  </si>
  <si>
    <t>Chaitra Marakini</t>
  </si>
  <si>
    <t>chaitrasathyashankar350@gmail.com</t>
  </si>
  <si>
    <t>KGBV Mohanpur - Moti</t>
  </si>
  <si>
    <t>Chandana Chatterjee</t>
  </si>
  <si>
    <t>Kolkata</t>
  </si>
  <si>
    <t>West Bengal</t>
  </si>
  <si>
    <t>teacher_school</t>
  </si>
  <si>
    <t>NA</t>
  </si>
  <si>
    <t>chandana1904@gmail.com</t>
  </si>
  <si>
    <t>KGBV Karon- Moti</t>
  </si>
  <si>
    <t>Dakshita Sharma</t>
  </si>
  <si>
    <t>Delhi</t>
  </si>
  <si>
    <t>dakshita.sharma2@s.amity.edu</t>
  </si>
  <si>
    <t>Spoken English: Level 1</t>
  </si>
  <si>
    <t>Deep Dasgupta</t>
  </si>
  <si>
    <t>Consultant</t>
  </si>
  <si>
    <t>deep.dsgpt3107@gmail.com</t>
  </si>
  <si>
    <t>KGBV Birdpur</t>
  </si>
  <si>
    <t>Deepti Pant</t>
  </si>
  <si>
    <t>Facebook</t>
  </si>
  <si>
    <t>Education, Training, and Library</t>
  </si>
  <si>
    <t>deeptipant24@gmail.com</t>
  </si>
  <si>
    <t>KGBV Bengabad - Hira</t>
  </si>
  <si>
    <t>KGBV Bengabad - Moti</t>
  </si>
  <si>
    <t>Deshna Mohanty</t>
  </si>
  <si>
    <t>Firstsource</t>
  </si>
  <si>
    <t>deshna.mohanty@firstsource.com</t>
  </si>
  <si>
    <t>Concise Content 1</t>
  </si>
  <si>
    <t>DEVESH MATHUR</t>
  </si>
  <si>
    <t>VPPARTNERSHIPS</t>
  </si>
  <si>
    <t>mathurdevesh365@gmail.com</t>
  </si>
  <si>
    <t>Devi Shanmugam</t>
  </si>
  <si>
    <t>Dubai</t>
  </si>
  <si>
    <t>United Arab Emirates</t>
  </si>
  <si>
    <t>retired_professional</t>
  </si>
  <si>
    <t>freelance.id.devi23@gmail.com</t>
  </si>
  <si>
    <t>KGBV Kuniyaan</t>
  </si>
  <si>
    <t>Dhaksheena Dharshini</t>
  </si>
  <si>
    <t>Coimbatore</t>
  </si>
  <si>
    <t>gdhaksheenadharshini@gmail.com</t>
  </si>
  <si>
    <t>Dhanashree Shirtode</t>
  </si>
  <si>
    <t>AsstManager</t>
  </si>
  <si>
    <t>sdhanashree18@gmail.com</t>
  </si>
  <si>
    <t>KGBV Partawal</t>
  </si>
  <si>
    <t>Dhriti Jain</t>
  </si>
  <si>
    <t>New Delhi</t>
  </si>
  <si>
    <t>jain.dhriti14@gmail.com</t>
  </si>
  <si>
    <t>Dhruv Ganage</t>
  </si>
  <si>
    <t>Petaling Jaya</t>
  </si>
  <si>
    <t>Selangor</t>
  </si>
  <si>
    <t>Malaysia</t>
  </si>
  <si>
    <t>dhruvganage@gmail.com</t>
  </si>
  <si>
    <t>Diksha .</t>
  </si>
  <si>
    <t>Infosys BPM Ltd</t>
  </si>
  <si>
    <t>Jaipur</t>
  </si>
  <si>
    <t>Rajasthan</t>
  </si>
  <si>
    <t>Process Executive</t>
  </si>
  <si>
    <t>diksha18@infosys.com</t>
  </si>
  <si>
    <t>Disha Gupta</t>
  </si>
  <si>
    <t>almonardroyal@gmail.com</t>
  </si>
  <si>
    <t>KGBV Bansi</t>
  </si>
  <si>
    <t>Divyanshu Vadehra</t>
  </si>
  <si>
    <t>Nashville</t>
  </si>
  <si>
    <t>Tennessee</t>
  </si>
  <si>
    <t>United States</t>
  </si>
  <si>
    <t>PhD student</t>
  </si>
  <si>
    <t>divyanshuvadehra100@gmail.com</t>
  </si>
  <si>
    <t>geetha chundi</t>
  </si>
  <si>
    <t>geethashivani74@gmail.com</t>
  </si>
  <si>
    <t>Hemlata Lakhe</t>
  </si>
  <si>
    <t>retired</t>
  </si>
  <si>
    <t>hemlatarlakhe@gmail.com</t>
  </si>
  <si>
    <t>JaiRaj Batra</t>
  </si>
  <si>
    <t>Word of Mouth</t>
  </si>
  <si>
    <t>finance</t>
  </si>
  <si>
    <t>SeniorVicePresident</t>
  </si>
  <si>
    <t>jairajbatra64@gmail.com</t>
  </si>
  <si>
    <t>KGBV Ahiraula</t>
  </si>
  <si>
    <t>Jaya Ambrose</t>
  </si>
  <si>
    <t>Jaypur</t>
  </si>
  <si>
    <t>Teacher</t>
  </si>
  <si>
    <t>jayambrose.ja@gmail.com</t>
  </si>
  <si>
    <t>KGBV Phoolpur</t>
  </si>
  <si>
    <t>KGBV Pawai</t>
  </si>
  <si>
    <t>Kamalika Shah</t>
  </si>
  <si>
    <t>Gurgaon</t>
  </si>
  <si>
    <t>Kamalika.shah@gmail.com</t>
  </si>
  <si>
    <t>KGBV Maya Bazar</t>
  </si>
  <si>
    <t>Kantesh Guttal</t>
  </si>
  <si>
    <t>kantesh@gmail.com</t>
  </si>
  <si>
    <t>Kartik Balaji</t>
  </si>
  <si>
    <t>BusinessConsultant</t>
  </si>
  <si>
    <t>kartikayushbalaji@gmail.com</t>
  </si>
  <si>
    <t>KGBV Maharajganj Sadar</t>
  </si>
  <si>
    <t>Khushboo Agrawal</t>
  </si>
  <si>
    <t>Nagpur</t>
  </si>
  <si>
    <t>Engineer</t>
  </si>
  <si>
    <t>khushi1505@gmail.com</t>
  </si>
  <si>
    <t>KGBV Keshraha</t>
  </si>
  <si>
    <t>Krishnan C</t>
  </si>
  <si>
    <t>Pattambi</t>
  </si>
  <si>
    <t>Kerala</t>
  </si>
  <si>
    <t>nil</t>
  </si>
  <si>
    <t>ckrishnan0492@gmail.com</t>
  </si>
  <si>
    <t>Kumar Muthiah</t>
  </si>
  <si>
    <t>Management</t>
  </si>
  <si>
    <t>Head public enterprise at Abu Dhabi commercial</t>
  </si>
  <si>
    <t>kumar.muthiah@gmail.com</t>
  </si>
  <si>
    <t>KGBV Parsiya Shoratgarh</t>
  </si>
  <si>
    <t>Kumar Rishav</t>
  </si>
  <si>
    <t>Senior Software Developer</t>
  </si>
  <si>
    <t>krishav51@gmail.com</t>
  </si>
  <si>
    <t>Lakshmi Agarwal</t>
  </si>
  <si>
    <t>Nothing</t>
  </si>
  <si>
    <t>sunilgupta355@gmail.com</t>
  </si>
  <si>
    <t>KGBV Jamua - Hira</t>
  </si>
  <si>
    <t>KGBV Jamua - Moti</t>
  </si>
  <si>
    <t>Mahima Choudhary</t>
  </si>
  <si>
    <t>Analyst</t>
  </si>
  <si>
    <t>mahi.chaudhry244@gmail.com</t>
  </si>
  <si>
    <t>Mannat Bhardwaj</t>
  </si>
  <si>
    <t>Jammu</t>
  </si>
  <si>
    <t>Jammu and Kashmir</t>
  </si>
  <si>
    <t>parqxcm@gmail.com</t>
  </si>
  <si>
    <t>Manu Chopra</t>
  </si>
  <si>
    <t>Reliance Foundation</t>
  </si>
  <si>
    <t>Rajpura</t>
  </si>
  <si>
    <t>AGM</t>
  </si>
  <si>
    <t>carebymanu@gmail.com</t>
  </si>
  <si>
    <t>Maria Bhunia</t>
  </si>
  <si>
    <t>Tamluk</t>
  </si>
  <si>
    <t>Freelance tutor</t>
  </si>
  <si>
    <t>mariabhunia.103@gmail.com</t>
  </si>
  <si>
    <t>Mini Nair</t>
  </si>
  <si>
    <t>mininair@kpmg.com</t>
  </si>
  <si>
    <t>KGBV Bhanwapur</t>
  </si>
  <si>
    <t>Mitali Batra</t>
  </si>
  <si>
    <t>Noida</t>
  </si>
  <si>
    <t>online retail business</t>
  </si>
  <si>
    <t>batra.mitali@gmail.com</t>
  </si>
  <si>
    <t>KGBV Tarun Bazar</t>
  </si>
  <si>
    <t>Mitali Jain</t>
  </si>
  <si>
    <t>mits.jain98@gmail.com</t>
  </si>
  <si>
    <t>Mohammad Aqdas</t>
  </si>
  <si>
    <t>Mau</t>
  </si>
  <si>
    <t>mohammadaqdas212@gmail.com</t>
  </si>
  <si>
    <t>KGBV Naugarh</t>
  </si>
  <si>
    <t>Moni PandeyFernandez</t>
  </si>
  <si>
    <t>HSBC EDPI</t>
  </si>
  <si>
    <t>moni.pandey.fernandez@hsbc.co.in</t>
  </si>
  <si>
    <t>Moti Lal Verma</t>
  </si>
  <si>
    <t>Allahabad</t>
  </si>
  <si>
    <t>Retired person</t>
  </si>
  <si>
    <t>omindian62@gmail.com</t>
  </si>
  <si>
    <t>Moumita Nath</t>
  </si>
  <si>
    <t>Scientist</t>
  </si>
  <si>
    <t>moumita27nath@gmail.com</t>
  </si>
  <si>
    <t>Munazza S</t>
  </si>
  <si>
    <t>Asperg</t>
  </si>
  <si>
    <t>Baden-Wurttemberg</t>
  </si>
  <si>
    <t>Germany</t>
  </si>
  <si>
    <t>teacher_university</t>
  </si>
  <si>
    <t>Researcher</t>
  </si>
  <si>
    <t>Defroem08@gmail.com</t>
  </si>
  <si>
    <t>24/04/26</t>
  </si>
  <si>
    <t>NagaNarayanaVyas Pulavarthy</t>
  </si>
  <si>
    <t>AssociateDirector</t>
  </si>
  <si>
    <t>pulavarthyvyas@kpmg.com</t>
  </si>
  <si>
    <t>Naman Gupta</t>
  </si>
  <si>
    <t>DataEngineer</t>
  </si>
  <si>
    <t>naman.gupta08@gmail.com</t>
  </si>
  <si>
    <t>Naman Mehrotra</t>
  </si>
  <si>
    <t>naman.mehrotra7@gmail.com</t>
  </si>
  <si>
    <t>Nandani Chauhan</t>
  </si>
  <si>
    <t>Ambernath</t>
  </si>
  <si>
    <t>nandanic2005@gmail.com</t>
  </si>
  <si>
    <t>NATASHA PALIWAL</t>
  </si>
  <si>
    <t>Bhopal</t>
  </si>
  <si>
    <t>CAT 2026 Aspirant</t>
  </si>
  <si>
    <t>natashapaliwal5896@gmail.com</t>
  </si>
  <si>
    <t>Nidhi Chaudhary</t>
  </si>
  <si>
    <t>Waghodia</t>
  </si>
  <si>
    <t>HRManager</t>
  </si>
  <si>
    <t>nidhi.chaudhary@ltts.com</t>
  </si>
  <si>
    <t>Nidhi Tiwari</t>
  </si>
  <si>
    <t>Udaan Welfare Foundation</t>
  </si>
  <si>
    <t>uwfnokia1@udaanwelfare.org</t>
  </si>
  <si>
    <t>Udaan DIGITAL SCHOOL</t>
  </si>
  <si>
    <t>Marathi</t>
  </si>
  <si>
    <t>MHSB</t>
  </si>
  <si>
    <t>nisha kumari</t>
  </si>
  <si>
    <t>Cognizant</t>
  </si>
  <si>
    <t>Jamshedpur</t>
  </si>
  <si>
    <t>Seniordeveloper</t>
  </si>
  <si>
    <t>Nisha.Kumari32c54a@cognizant.com</t>
  </si>
  <si>
    <t>Nisha Modi</t>
  </si>
  <si>
    <t>FinancialConsultant</t>
  </si>
  <si>
    <t>modinisha29@gmail.com</t>
  </si>
  <si>
    <t>OMPRAKASH SINGH</t>
  </si>
  <si>
    <t>Ghazipur</t>
  </si>
  <si>
    <t>STUDENT</t>
  </si>
  <si>
    <t>happysingh0947@gmail.com</t>
  </si>
  <si>
    <t>Paramjeet Kaur</t>
  </si>
  <si>
    <t>Scaler School of Technology - Interviewbit Software Services Pcvt Ltd</t>
  </si>
  <si>
    <t>paramjeetkaur4326@gmail.com</t>
  </si>
  <si>
    <t>Parshav Khandelwal</t>
  </si>
  <si>
    <t>Bareilly</t>
  </si>
  <si>
    <t>Projectmanager</t>
  </si>
  <si>
    <t>khandelwalparshavrawat@gmail.com</t>
  </si>
  <si>
    <t>Pooja Agarwal</t>
  </si>
  <si>
    <t>Community Outreach</t>
  </si>
  <si>
    <t>Dentist</t>
  </si>
  <si>
    <t>poojaagarwal9866@gmail.com</t>
  </si>
  <si>
    <t>Pooja Singh</t>
  </si>
  <si>
    <t>employee</t>
  </si>
  <si>
    <t>singhpoojacbe1@gmail.com</t>
  </si>
  <si>
    <t>pooja tandon</t>
  </si>
  <si>
    <t>Emailer</t>
  </si>
  <si>
    <t>Others</t>
  </si>
  <si>
    <t>Hong Kong</t>
  </si>
  <si>
    <t>Hong Kong S.A.R.</t>
  </si>
  <si>
    <t>poojakobe@gmail.com</t>
  </si>
  <si>
    <t>31/01/27</t>
  </si>
  <si>
    <t>KGBV Devipur - Hira</t>
  </si>
  <si>
    <t>KGBV Devipur - Moti</t>
  </si>
  <si>
    <t>POONAM KHANNA</t>
  </si>
  <si>
    <t>Patiala</t>
  </si>
  <si>
    <t>HOUSEWIFE</t>
  </si>
  <si>
    <t>poonam196517.pk@gmail.com</t>
  </si>
  <si>
    <t>UMS Bishunpur-Hira</t>
  </si>
  <si>
    <t>UMS Bishunpur-Moti</t>
  </si>
  <si>
    <t>Priya Sah</t>
  </si>
  <si>
    <t>priyasb200@gmail.com</t>
  </si>
  <si>
    <t>KGBV Madhupur - Moti</t>
  </si>
  <si>
    <t>RADHA RAMMOHAN</t>
  </si>
  <si>
    <t>Office and Administrative Support</t>
  </si>
  <si>
    <t>radharammohan76@gmail.com</t>
  </si>
  <si>
    <t>Rajat Kumar</t>
  </si>
  <si>
    <t>Bhumi Foundation</t>
  </si>
  <si>
    <t>Sirsa</t>
  </si>
  <si>
    <t>BDA</t>
  </si>
  <si>
    <t>mehtarajat9688@gmail.com</t>
  </si>
  <si>
    <t>Ramya Kumar</t>
  </si>
  <si>
    <t>Chennai</t>
  </si>
  <si>
    <t>Home Maker</t>
  </si>
  <si>
    <t>ramyakumar@yahoo.com</t>
  </si>
  <si>
    <t>Rashmi Jha</t>
  </si>
  <si>
    <t>Pricewaterhousecoopers India Foundation</t>
  </si>
  <si>
    <t>Rewa</t>
  </si>
  <si>
    <t>homemaker</t>
  </si>
  <si>
    <t>rashmijhapwc@gmail.com</t>
  </si>
  <si>
    <t>Rashmi Lamba</t>
  </si>
  <si>
    <t>housewife</t>
  </si>
  <si>
    <t>rashmilamba05@gmail.com</t>
  </si>
  <si>
    <t>KGBV Mohanpur - Hira</t>
  </si>
  <si>
    <t>Reema Chauhan</t>
  </si>
  <si>
    <t>Ajmer</t>
  </si>
  <si>
    <t>Development Application Associate Manager</t>
  </si>
  <si>
    <t>reemachauhan1408@gmail.com</t>
  </si>
  <si>
    <t>Renu Prasad</t>
  </si>
  <si>
    <t>retired teacher</t>
  </si>
  <si>
    <t>renuprasad361@gmail.com</t>
  </si>
  <si>
    <t>KGBV Karon- Hira</t>
  </si>
  <si>
    <t>Richa Gupta</t>
  </si>
  <si>
    <t>DesignLead</t>
  </si>
  <si>
    <t>ric848@gmail.com</t>
  </si>
  <si>
    <t>Richa Kumari</t>
  </si>
  <si>
    <t>Vaishali</t>
  </si>
  <si>
    <t>Bihar</t>
  </si>
  <si>
    <t>srivastavaricha500@gmail.com</t>
  </si>
  <si>
    <t>Rispa Maria</t>
  </si>
  <si>
    <t>Wayanad</t>
  </si>
  <si>
    <t>AssociateConsultant</t>
  </si>
  <si>
    <t>rispamaria7@gmail.com</t>
  </si>
  <si>
    <t>KGBV Ghughali</t>
  </si>
  <si>
    <t>RITIKA SHARMA</t>
  </si>
  <si>
    <t>Sikar</t>
  </si>
  <si>
    <t>DataAnalyst</t>
  </si>
  <si>
    <t>rmritika29@gmail.com</t>
  </si>
  <si>
    <t>Ritu Loura</t>
  </si>
  <si>
    <t>Hisar</t>
  </si>
  <si>
    <t>rituloura696@gmail.com</t>
  </si>
  <si>
    <t>Sagarika Das</t>
  </si>
  <si>
    <t>No</t>
  </si>
  <si>
    <t>sagarika.das.jha@gmail.com</t>
  </si>
  <si>
    <t>Sagarika M</t>
  </si>
  <si>
    <t>HomeManager</t>
  </si>
  <si>
    <t>sagarikaiyengar@outlook.com</t>
  </si>
  <si>
    <t>KGBV Bikapur</t>
  </si>
  <si>
    <t>Sakshi Prasad</t>
  </si>
  <si>
    <t>Idar-Oberstein</t>
  </si>
  <si>
    <t>Rheinland-Pfalz</t>
  </si>
  <si>
    <t>write.sakshiprasad@gmail.com</t>
  </si>
  <si>
    <t>Saloni Gupta</t>
  </si>
  <si>
    <t>KPMG</t>
  </si>
  <si>
    <t>casalonigupta1992@gmail.com</t>
  </si>
  <si>
    <t>KGBV Siswa Bazar</t>
  </si>
  <si>
    <t>Sameer Pattnaik</t>
  </si>
  <si>
    <t>sameerpattnaik95p@gmail.com</t>
  </si>
  <si>
    <t>Samrat Ghosh</t>
  </si>
  <si>
    <t>Kalyani</t>
  </si>
  <si>
    <t>samratgh2004@gmail.com</t>
  </si>
  <si>
    <t>Samrudhi Harne</t>
  </si>
  <si>
    <t>samrudhiharne002@gmail.com</t>
  </si>
  <si>
    <t>Samyak Jhanjhari</t>
  </si>
  <si>
    <t>samyak.24bcs10311@sst.scaler.com</t>
  </si>
  <si>
    <t>Sangita Kumari</t>
  </si>
  <si>
    <t>sangita.bioinfo@gmail.com</t>
  </si>
  <si>
    <t>Sanika Wankhade</t>
  </si>
  <si>
    <t>Indore</t>
  </si>
  <si>
    <t>sanikawankhade05@gmail.com</t>
  </si>
  <si>
    <t>SANKET DAROKAR</t>
  </si>
  <si>
    <t>ASSITANTMANAGER</t>
  </si>
  <si>
    <t>sanketdarokar@kpmg.com</t>
  </si>
  <si>
    <t>Saumya Rai</t>
  </si>
  <si>
    <t>MarketingManager</t>
  </si>
  <si>
    <t>saumyarai2503@gmail.com</t>
  </si>
  <si>
    <t>18/04/26</t>
  </si>
  <si>
    <t>KGBV Pura Bazar</t>
  </si>
  <si>
    <t>Saurav Suman</t>
  </si>
  <si>
    <t>Ara</t>
  </si>
  <si>
    <t>saurav472.hitcseaiml2020@gmail.com</t>
  </si>
  <si>
    <t>Savatsa Belwal</t>
  </si>
  <si>
    <t>Saharanpur</t>
  </si>
  <si>
    <t>studying</t>
  </si>
  <si>
    <t>belwalsavatsa@gmail.com</t>
  </si>
  <si>
    <t>Seema Mishra</t>
  </si>
  <si>
    <t>seema.mishra2208@gmail.com</t>
  </si>
  <si>
    <t>UHS Bhandari</t>
  </si>
  <si>
    <t>Shabnam Barwal</t>
  </si>
  <si>
    <t>Palampur</t>
  </si>
  <si>
    <t>Himachal Pradesh</t>
  </si>
  <si>
    <t>Self Employed</t>
  </si>
  <si>
    <t>barwalshabnam@gmail.com</t>
  </si>
  <si>
    <t>Shalini Paliwal</t>
  </si>
  <si>
    <t>None</t>
  </si>
  <si>
    <t>shalinipaliwal1977@gmail.com</t>
  </si>
  <si>
    <t>Shivang Rajwanshi</t>
  </si>
  <si>
    <t>Meerut</t>
  </si>
  <si>
    <t>Unemployed</t>
  </si>
  <si>
    <t>miniji2401@gmail.com</t>
  </si>
  <si>
    <t>Shradha Dip</t>
  </si>
  <si>
    <t>Secunderabad</t>
  </si>
  <si>
    <t>Software engineer</t>
  </si>
  <si>
    <t>dip.shradha@gmail.com</t>
  </si>
  <si>
    <t>Shruti Nair</t>
  </si>
  <si>
    <t>London</t>
  </si>
  <si>
    <t>United Kingdom</t>
  </si>
  <si>
    <t>Management consultant</t>
  </si>
  <si>
    <t>shrutin93@gmail.com</t>
  </si>
  <si>
    <t>Siddham Jain</t>
  </si>
  <si>
    <t>siddham.23bcs10103@sst.scaler.com</t>
  </si>
  <si>
    <t>Sinchana K</t>
  </si>
  <si>
    <t>sinchanakalal9@gmail.com</t>
  </si>
  <si>
    <t>Sonali Kulkarni</t>
  </si>
  <si>
    <t>sonalikulkarni1908@gmail.com</t>
  </si>
  <si>
    <t>Sowmya Desikan</t>
  </si>
  <si>
    <t>l.desikan0716@gmail.com</t>
  </si>
  <si>
    <t>Subrata Chattopadhyay</t>
  </si>
  <si>
    <t>SoftwareEngineer</t>
  </si>
  <si>
    <t>subrata_chattopadhya@infosys.com</t>
  </si>
  <si>
    <t>Sunita Puri</t>
  </si>
  <si>
    <t>Chandigarh</t>
  </si>
  <si>
    <t>Retiredprofessional</t>
  </si>
  <si>
    <t>sunita.puri15@gmail.com</t>
  </si>
  <si>
    <t>Swati Gutgutia</t>
  </si>
  <si>
    <t>Programmanager</t>
  </si>
  <si>
    <t>gutgutia.swati87@gmail.com</t>
  </si>
  <si>
    <t>Sweta Singh</t>
  </si>
  <si>
    <t>Tech Mahindra Limited</t>
  </si>
  <si>
    <t>Business Consultant</t>
  </si>
  <si>
    <t>Sweta.Singh18@techmahindra.com</t>
  </si>
  <si>
    <t>Tanya Jindal</t>
  </si>
  <si>
    <t>jindal.tanya11@gmail.com</t>
  </si>
  <si>
    <t>Tejaswi Srikanta</t>
  </si>
  <si>
    <t>COnsultantCOntentteamEvidyaloka</t>
  </si>
  <si>
    <t>tejaskanta23@gmail.com</t>
  </si>
  <si>
    <t>Usha Lal</t>
  </si>
  <si>
    <t>Retired</t>
  </si>
  <si>
    <t>anjulal1@yahoo.co.in</t>
  </si>
  <si>
    <t>Utkarsh Aggarwal</t>
  </si>
  <si>
    <t>Ghaziabad</t>
  </si>
  <si>
    <t>MBA</t>
  </si>
  <si>
    <t>demigodslie@gmail.com</t>
  </si>
  <si>
    <t>Vaishali Chande</t>
  </si>
  <si>
    <t>Jharia</t>
  </si>
  <si>
    <t>vaishali.chande@gmail.com</t>
  </si>
  <si>
    <t>Vanshita Jhamtani</t>
  </si>
  <si>
    <t>Kamthi</t>
  </si>
  <si>
    <t>jhamtanivanshita28@gmail.com</t>
  </si>
  <si>
    <t>Vasuki KP</t>
  </si>
  <si>
    <t>Retd. Professional</t>
  </si>
  <si>
    <t>kpvasuki59@gmail.com</t>
  </si>
  <si>
    <t>Viswajit Ghosh</t>
  </si>
  <si>
    <t>vishuji85@gmail.com</t>
  </si>
  <si>
    <t>Teacher_id</t>
  </si>
  <si>
    <t>Teacher_name</t>
  </si>
  <si>
    <t>E-mail</t>
  </si>
  <si>
    <t>Phone</t>
  </si>
  <si>
    <t>Assigned date</t>
  </si>
  <si>
    <t>Dropped date</t>
  </si>
  <si>
    <t>Dropped Offerings</t>
  </si>
  <si>
    <t>Dropped offering names</t>
  </si>
  <si>
    <t>Reasons</t>
  </si>
  <si>
    <t>Dropped Offering count</t>
  </si>
  <si>
    <t>Currently active offerings</t>
  </si>
  <si>
    <t>Volunteer_id</t>
  </si>
  <si>
    <t>PARAMA GHOSH</t>
  </si>
  <si>
    <t>paramaghosh8@gmail.com</t>
  </si>
  <si>
    <t>##########</t>
  </si>
  <si>
    <t>HS Chakirban-6-Conceptual Learning - Science</t>
  </si>
  <si>
    <t>Laptop issue - Audio/Video</t>
  </si>
  <si>
    <t>GMS Jallian-6-Conceptual Learning - Math</t>
  </si>
  <si>
    <t>Health issues</t>
  </si>
  <si>
    <t>Month</t>
  </si>
  <si>
    <t>Offering_status</t>
  </si>
  <si>
    <t>Updated_by</t>
  </si>
  <si>
    <t>id</t>
  </si>
  <si>
    <t>offering_id</t>
  </si>
  <si>
    <t>teacher_id</t>
  </si>
  <si>
    <t>created_date</t>
  </si>
  <si>
    <t>created_by_id</t>
  </si>
  <si>
    <t>updated_date</t>
  </si>
  <si>
    <t>updated_by_id</t>
  </si>
  <si>
    <t>booked_date</t>
  </si>
  <si>
    <t>dropped_category</t>
  </si>
  <si>
    <t>reject_reason</t>
  </si>
  <si>
    <t>orientation_date</t>
  </si>
  <si>
    <t>Reference Channel</t>
  </si>
  <si>
    <t>April</t>
  </si>
  <si>
    <t>Admin 2</t>
  </si>
  <si>
    <t>nikitha.madan@evidyaloka.org</t>
  </si>
  <si>
    <t>Timings could not be offered for the selected course in this center</t>
  </si>
  <si>
    <t>SONU Kumar</t>
  </si>
  <si>
    <t>22001007020sonu@dcrustm.org</t>
  </si>
  <si>
    <t>Time slot is not comfortable</t>
  </si>
  <si>
    <t>URVI Kashyap</t>
  </si>
  <si>
    <t>urvik1603@gmail.com</t>
  </si>
  <si>
    <t>Volunteer want another offering</t>
  </si>
  <si>
    <t>Jayshree Deota</t>
  </si>
  <si>
    <t>jayshreedeota@gmail.com</t>
  </si>
  <si>
    <t>Malar N</t>
  </si>
  <si>
    <t>m_loganathan@yahoo.com</t>
  </si>
  <si>
    <t>Pending</t>
  </si>
  <si>
    <t>You have been assigned an alternate offering after discussion</t>
  </si>
  <si>
    <t>Subhalakshmi Muthukumar</t>
  </si>
  <si>
    <t>subhamuthukumar46@gmail.com</t>
  </si>
  <si>
    <t>Simmy Garg</t>
  </si>
  <si>
    <t>simmy.garg@hp.com</t>
  </si>
  <si>
    <t>Volunteer want to discontinue</t>
  </si>
  <si>
    <t>Rizwan Ahmed</t>
  </si>
  <si>
    <t>sarfarazrizwan1060@gmail.com</t>
  </si>
  <si>
    <t>User ID</t>
  </si>
  <si>
    <t>User Name</t>
  </si>
  <si>
    <t>Date Joined</t>
  </si>
  <si>
    <t>Gender</t>
  </si>
  <si>
    <t>Country</t>
  </si>
  <si>
    <t>City</t>
  </si>
  <si>
    <t>Role</t>
  </si>
  <si>
    <t>Kadam Balaji</t>
  </si>
  <si>
    <t>male</t>
  </si>
  <si>
    <t>rdxbalaji390@gmail.com</t>
  </si>
  <si>
    <t>Dharmabad</t>
  </si>
  <si>
    <t>Dhanya AC</t>
  </si>
  <si>
    <t>female</t>
  </si>
  <si>
    <t>ndhanya2412@gmail.com</t>
  </si>
  <si>
    <t>Arizona</t>
  </si>
  <si>
    <t>Chandler</t>
  </si>
  <si>
    <t>Sanket Bhosale</t>
  </si>
  <si>
    <t>sanketsb.18@gmail.com</t>
  </si>
  <si>
    <t>Bhosari</t>
  </si>
  <si>
    <t>CGI</t>
  </si>
  <si>
    <t>Siri R</t>
  </si>
  <si>
    <t>gowrikeerthi1997@gmail.com</t>
  </si>
  <si>
    <t>Bhawanisagar</t>
  </si>
  <si>
    <t>Ovi Bapte</t>
  </si>
  <si>
    <t>ovibapte7@gmail.com</t>
  </si>
  <si>
    <t>Asrij Sriramoju</t>
  </si>
  <si>
    <t>sriramojuasrij28@gmail.com</t>
  </si>
  <si>
    <t>Gandhinagar</t>
  </si>
  <si>
    <t>Monalisa Rai</t>
  </si>
  <si>
    <t>monarai1009@gmail.com</t>
  </si>
  <si>
    <t>Varanasi</t>
  </si>
  <si>
    <t>Krishnika Bora</t>
  </si>
  <si>
    <t>binatalukdar1964@gmail.com</t>
  </si>
  <si>
    <t>Assam</t>
  </si>
  <si>
    <t>Guwahati</t>
  </si>
  <si>
    <t>Jayanthi Gopalakrishnan</t>
  </si>
  <si>
    <t>jayanthig62@gmail.com</t>
  </si>
  <si>
    <t>99402 10506</t>
  </si>
  <si>
    <t>Yogita Thoolkar</t>
  </si>
  <si>
    <t>thoolkaryogita@gmail.com</t>
  </si>
  <si>
    <t>Swapnil Panda</t>
  </si>
  <si>
    <t>swapnilpanda@ymail.com</t>
  </si>
  <si>
    <t>Angul</t>
  </si>
  <si>
    <t>Arohi Shukla</t>
  </si>
  <si>
    <t>shuklaarohi06@gmail.com</t>
  </si>
  <si>
    <t>Aligarh</t>
  </si>
  <si>
    <t>Nandani Maheshwari</t>
  </si>
  <si>
    <t>nandani02m@gmail.com</t>
  </si>
  <si>
    <t>Anjanalakshmi V</t>
  </si>
  <si>
    <t>anjanalakshmi1234@gmail.com</t>
  </si>
  <si>
    <t>Navya Chawla</t>
  </si>
  <si>
    <t>iamnavyachawla@gmail.com</t>
  </si>
  <si>
    <t>Vivek Solanki</t>
  </si>
  <si>
    <t>viveksolanki0801@gmail.com</t>
  </si>
  <si>
    <t>Jodhpur</t>
  </si>
  <si>
    <t>Medhavi Gupta</t>
  </si>
  <si>
    <t>medhavigupta03@gmail.com</t>
  </si>
  <si>
    <t>Sangari S</t>
  </si>
  <si>
    <t>sangarisathasivam@gmail.com</t>
  </si>
  <si>
    <t>Sheenu Gulati</t>
  </si>
  <si>
    <t>sheenu21645@gmail.com</t>
  </si>
  <si>
    <t>Mohali</t>
  </si>
  <si>
    <t>Sreelakshmi D</t>
  </si>
  <si>
    <t>sailaki@gmail.com</t>
  </si>
  <si>
    <t>Andhra Pradesh</t>
  </si>
  <si>
    <t>Tirupati</t>
  </si>
  <si>
    <t>Narasimharaju S</t>
  </si>
  <si>
    <t>narasimharaju.snr47@gmail.com</t>
  </si>
  <si>
    <t>Ramanagaram</t>
  </si>
  <si>
    <t>Vikalp Mandawaria</t>
  </si>
  <si>
    <t>vikalp261096@gmail.com</t>
  </si>
  <si>
    <t>VSNSubhashini Meghanaa</t>
  </si>
  <si>
    <t>nithya.veerla@gmail.com</t>
  </si>
  <si>
    <t>Amika Goswami</t>
  </si>
  <si>
    <t>amikagoswami8@gmail.com</t>
  </si>
  <si>
    <t>Bally</t>
  </si>
  <si>
    <t>Vignesh Prakash</t>
  </si>
  <si>
    <t>vigneshprakash@zohomail.in</t>
  </si>
  <si>
    <t>Thanjavur</t>
  </si>
  <si>
    <t>Srija Cherukuri</t>
  </si>
  <si>
    <t>srijacherukuri03@gmail.com</t>
  </si>
  <si>
    <t>Swetha Thota</t>
  </si>
  <si>
    <t>shwetha.peddi@gmail.com</t>
  </si>
  <si>
    <t>Kanika Tayal</t>
  </si>
  <si>
    <t>Jithendra Nadella</t>
  </si>
  <si>
    <t>jittur@gmail.com</t>
  </si>
  <si>
    <t>Pavani Musku</t>
  </si>
  <si>
    <t>muskupavani@gmail.com</t>
  </si>
  <si>
    <t>BGNVIJAYENDRAGUPTHA ANUMOTHU</t>
  </si>
  <si>
    <t>anumothubgnvijayendragupta@gmail.com</t>
  </si>
  <si>
    <t>Khammam</t>
  </si>
  <si>
    <t>Prakrithi V</t>
  </si>
  <si>
    <t>prakruthyvijaykumar@gmail.com</t>
  </si>
  <si>
    <t>Thrissur</t>
  </si>
  <si>
    <t>Diksha Konwar</t>
  </si>
  <si>
    <t>dikshakonwar669@gmail.com</t>
  </si>
  <si>
    <t>Digboi Oil Town</t>
  </si>
  <si>
    <t>Dhaatrey Kuricheti</t>
  </si>
  <si>
    <t>thebluepaperbag77@gmail.com</t>
  </si>
  <si>
    <t>Pooja Bansal</t>
  </si>
  <si>
    <t>pbansal3045@gmail.com</t>
  </si>
  <si>
    <t>Swathi Darbha</t>
  </si>
  <si>
    <t>swathi@isacfoundation.org</t>
  </si>
  <si>
    <t>Gayathri Selvam</t>
  </si>
  <si>
    <t>gayuselvam1155@gmail.com</t>
  </si>
  <si>
    <t>Kambainallur</t>
  </si>
  <si>
    <t>Shrisha SHETTY</t>
  </si>
  <si>
    <t>Babulal Shaik</t>
  </si>
  <si>
    <t>shaik.babulal@gmail.com</t>
  </si>
  <si>
    <t>Srikalahasti</t>
  </si>
  <si>
    <t>CHERLA RAJAGOPAL</t>
  </si>
  <si>
    <t>Tanuku</t>
  </si>
  <si>
    <t>Kavitha Adari</t>
  </si>
  <si>
    <t>kavithakrishna1131@gmail.com</t>
  </si>
  <si>
    <t>Visakhapatnam</t>
  </si>
  <si>
    <t>Nawlesh Kumar</t>
  </si>
  <si>
    <t>nawlesh2k16@gmail.com</t>
  </si>
  <si>
    <t>Gorakhpur</t>
  </si>
  <si>
    <t>Deepika Bakka</t>
  </si>
  <si>
    <t>deepika.bakka@gmail.com</t>
  </si>
  <si>
    <t>Sheenu Malik</t>
  </si>
  <si>
    <t>msheenu8@gmail.com</t>
  </si>
  <si>
    <t>Jhajjar</t>
  </si>
  <si>
    <t>Ommkarsai Mishra</t>
  </si>
  <si>
    <t>omkarsaimishra@gmail.com</t>
  </si>
  <si>
    <t>Cuttack</t>
  </si>
  <si>
    <t>MADDAKA LAKSHMINARASAPPA</t>
  </si>
  <si>
    <t>lakshminarasappa1013@gmail.com</t>
  </si>
  <si>
    <t>Kadiri</t>
  </si>
  <si>
    <t>M Lakshminarasappa</t>
  </si>
  <si>
    <t>lakshminarasappa7@gmail.com</t>
  </si>
  <si>
    <t>ARUNKUMAR GUDIPATI</t>
  </si>
  <si>
    <t>karun147@gmail.com</t>
  </si>
  <si>
    <t>Singarayakonda</t>
  </si>
  <si>
    <t>Abhiram Dash</t>
  </si>
  <si>
    <t>dashabhiram508@gmail.com</t>
  </si>
  <si>
    <t>Vallabhavajhula Vidyasri</t>
  </si>
  <si>
    <t>vallabhavajhalavidyasri@gmail.com</t>
  </si>
  <si>
    <t>Anakapalle</t>
  </si>
  <si>
    <t>Pratik Sarangi</t>
  </si>
  <si>
    <t>sarangipratik7@gmail.com</t>
  </si>
  <si>
    <t>Bhubaneswar</t>
  </si>
  <si>
    <t>Shaurya Mittal</t>
  </si>
  <si>
    <t>shaurya6032000@gmail.com</t>
  </si>
  <si>
    <t>ASHOK JAIN</t>
  </si>
  <si>
    <t>ASHOK.DPR@gmail.com</t>
  </si>
  <si>
    <t>Sree Keerthi</t>
  </si>
  <si>
    <t>saisree1989@gmail.com</t>
  </si>
  <si>
    <t>Neeraja Devi</t>
  </si>
  <si>
    <t>devineeraja@gmail.com</t>
  </si>
  <si>
    <t>77989 97775</t>
  </si>
  <si>
    <t>Ananya Jaiswal</t>
  </si>
  <si>
    <t>ananyajais19@gmail.com</t>
  </si>
  <si>
    <t>LakshmiSahitya Rachapudi</t>
  </si>
  <si>
    <t>sahityarachapudi@gmail.com</t>
  </si>
  <si>
    <t>Vijayawada</t>
  </si>
  <si>
    <t>Omisha Bajoria</t>
  </si>
  <si>
    <t>omishabajoria@gmail.com</t>
  </si>
  <si>
    <t>Rajalakshmi Narasimhan</t>
  </si>
  <si>
    <t>rajalakshmi.nr6@gmail.com</t>
  </si>
  <si>
    <t>Canada</t>
  </si>
  <si>
    <t>Ontario</t>
  </si>
  <si>
    <t>Toronto</t>
  </si>
  <si>
    <t>Sugandha Singh</t>
  </si>
  <si>
    <t>sugandhasingh0103@gmail.com</t>
  </si>
  <si>
    <t>Sujatha Matta</t>
  </si>
  <si>
    <t>sujaroyhyd@gmail.com</t>
  </si>
  <si>
    <t>Oman</t>
  </si>
  <si>
    <t>Masqat</t>
  </si>
  <si>
    <t>Bawshar</t>
  </si>
  <si>
    <t>Nyancy Jaya</t>
  </si>
  <si>
    <t>jayanyancy@gmail.com</t>
  </si>
  <si>
    <t>Win Of Waves</t>
  </si>
  <si>
    <t>Maitreya Sheth</t>
  </si>
  <si>
    <t>montysheth@gmail.com</t>
  </si>
  <si>
    <t>Mira Bhayandar</t>
  </si>
  <si>
    <t>Lekhana R</t>
  </si>
  <si>
    <t>rajkumarlekhana@gmail.com</t>
  </si>
  <si>
    <t>Bhagyashri Kore</t>
  </si>
  <si>
    <t>ghodkeb332@gmail.com</t>
  </si>
  <si>
    <t>Thane</t>
  </si>
  <si>
    <t>Puru Singhvi</t>
  </si>
  <si>
    <t>purusinghvi1234@gmail.com</t>
  </si>
  <si>
    <t>Srishti Mittal</t>
  </si>
  <si>
    <t>srishcode0412@gmail.com</t>
  </si>
  <si>
    <t>Deval Kachhia</t>
  </si>
  <si>
    <t>Ahmedabad</t>
  </si>
  <si>
    <t>Rohankumar Shahi</t>
  </si>
  <si>
    <t>rkshahi07122002@gmail.com</t>
  </si>
  <si>
    <t>Subhangi Maity</t>
  </si>
  <si>
    <t>subhangimaity28@gmail.com</t>
  </si>
  <si>
    <t>Kharagpur</t>
  </si>
  <si>
    <t>Sonali Raut</t>
  </si>
  <si>
    <t>sonali987raut@gmail.com</t>
  </si>
  <si>
    <t>Berhampur</t>
  </si>
  <si>
    <t>Divya Singh</t>
  </si>
  <si>
    <t>div955954@gmail.com</t>
  </si>
  <si>
    <t>Tushar Seth</t>
  </si>
  <si>
    <t>tusharseth333@gmail.com</t>
  </si>
  <si>
    <t>Mukesh Dewangan</t>
  </si>
  <si>
    <t>mukesh283@gmail.com</t>
  </si>
  <si>
    <t>Srinivas Padamata</t>
  </si>
  <si>
    <t>padamata.srinivas0306@gmail.com</t>
  </si>
  <si>
    <t>Mansa Raman</t>
  </si>
  <si>
    <t>rmansa001030@gmail.com</t>
  </si>
  <si>
    <t>Hakam Chand</t>
  </si>
  <si>
    <t>chandhakam865@gmail.com</t>
  </si>
  <si>
    <t>Dharamshala</t>
  </si>
  <si>
    <t>Komalraj SURYAWANSHI</t>
  </si>
  <si>
    <t>keshavsuryawanshi36@gmail.com</t>
  </si>
  <si>
    <t>Jalgaon</t>
  </si>
  <si>
    <t>Maansi Vijith</t>
  </si>
  <si>
    <t>maansivijith1@gmail.com</t>
  </si>
  <si>
    <t>Pahang</t>
  </si>
  <si>
    <t>Kuantan</t>
  </si>
  <si>
    <t>Jai ANTIL</t>
  </si>
  <si>
    <t>workswithtrevor@gmail.com</t>
  </si>
  <si>
    <t>Sonipat</t>
  </si>
  <si>
    <t>Syamala T</t>
  </si>
  <si>
    <t>talarisyamala25@gmail.com</t>
  </si>
  <si>
    <t>Dharmavaram</t>
  </si>
  <si>
    <t>Mita Biswas</t>
  </si>
  <si>
    <t>mitabiswas@gmail.com</t>
  </si>
  <si>
    <t>Chandrakala B</t>
  </si>
  <si>
    <t>ckphotography111@gmail.com</t>
  </si>
  <si>
    <t>Yerraguntla</t>
  </si>
  <si>
    <t>KAUSHLENDRA YADAV</t>
  </si>
  <si>
    <t>INDKAUSHAL2@gmail.com</t>
  </si>
  <si>
    <t>Firozabad</t>
  </si>
  <si>
    <t>Sravani Samineni</t>
  </si>
  <si>
    <t>ssssravani28@gmail.com</t>
  </si>
  <si>
    <t>Nandigama</t>
  </si>
  <si>
    <t>Prantika Tiwari</t>
  </si>
  <si>
    <t>prantikatiwari21@gmail.com</t>
  </si>
  <si>
    <t>Karthik Solaippan</t>
  </si>
  <si>
    <t>karthikprerna@gmail.com</t>
  </si>
  <si>
    <t>Texas</t>
  </si>
  <si>
    <t>Arlington</t>
  </si>
  <si>
    <t>Naman Jaswani</t>
  </si>
  <si>
    <t>naman64000@gmail.com</t>
  </si>
  <si>
    <t>Sandhya Nadig</t>
  </si>
  <si>
    <t>nadig.sandhya@gmail.com</t>
  </si>
  <si>
    <t>Neelima Pavuluri</t>
  </si>
  <si>
    <t>kannap22@gmail.com</t>
  </si>
  <si>
    <t>Komal Bajaj</t>
  </si>
  <si>
    <t>Mukherjee Antika</t>
  </si>
  <si>
    <t>ris.ant009@gmail.com</t>
  </si>
  <si>
    <t>Sreehitha Adari</t>
  </si>
  <si>
    <t>happysiri003@gmail.com</t>
  </si>
  <si>
    <t>Hanisha Bhaglal</t>
  </si>
  <si>
    <t>hanisha499@gmail.com</t>
  </si>
  <si>
    <t>Keval Mehta</t>
  </si>
  <si>
    <t>kmkeval@gmail.com</t>
  </si>
  <si>
    <t>Rajkot</t>
  </si>
  <si>
    <t>Sumit Singh</t>
  </si>
  <si>
    <t>sumittanu054@gmail.com</t>
  </si>
  <si>
    <t>K Swathi</t>
  </si>
  <si>
    <t>swathik.k16@gmail.com</t>
  </si>
  <si>
    <t>SaiNeeraja Kandala</t>
  </si>
  <si>
    <t>books.career2024@gmail.com</t>
  </si>
  <si>
    <t>Amravati</t>
  </si>
  <si>
    <t>Kotresha Nagaladoni</t>
  </si>
  <si>
    <t>jckotresha@gmail.com</t>
  </si>
  <si>
    <t>Smt ASM Degree College for Women‚Äôs , Gandhi Nagar , Ballari</t>
  </si>
  <si>
    <t>Khushangi Singh</t>
  </si>
  <si>
    <t>singhkhushangi@gmail.com</t>
  </si>
  <si>
    <t>Neethu SN</t>
  </si>
  <si>
    <t>neethu.s.nithy.ananda@gmail.com</t>
  </si>
  <si>
    <t>Hassan</t>
  </si>
  <si>
    <t>Shrijani Chowdhury</t>
  </si>
  <si>
    <t>shrijani2002@gmail.com</t>
  </si>
  <si>
    <t>Kiryi Chan</t>
  </si>
  <si>
    <t>kiiy@bdb.co</t>
  </si>
  <si>
    <t>Tenali</t>
  </si>
  <si>
    <t>NOOR FATMA</t>
  </si>
  <si>
    <t>nfatmaaspirant@gmail.com</t>
  </si>
  <si>
    <t>Divya Vaitheswaran</t>
  </si>
  <si>
    <t>vdivya51991@gmail.com</t>
  </si>
  <si>
    <t>Pennsylvania</t>
  </si>
  <si>
    <t>North Wales</t>
  </si>
  <si>
    <t>Sagar Yadav</t>
  </si>
  <si>
    <t>sgryadav9@gmail.com</t>
  </si>
  <si>
    <t>California</t>
  </si>
  <si>
    <t>Simi Valley</t>
  </si>
  <si>
    <t>Rashmi Patil</t>
  </si>
  <si>
    <t>patilrashmi2003@gmail.com</t>
  </si>
  <si>
    <t>Hubli</t>
  </si>
  <si>
    <t>Harikiran Talapala</t>
  </si>
  <si>
    <t>harikirantalapala28@gmail.com</t>
  </si>
  <si>
    <t>Kavali</t>
  </si>
  <si>
    <t>Apara Mahishi</t>
  </si>
  <si>
    <t>apara.mahishi21@gmail.com</t>
  </si>
  <si>
    <t>Shreya Shreya</t>
  </si>
  <si>
    <t>22csu515@ncuindia.edu</t>
  </si>
  <si>
    <t>Kaushiki Mittal</t>
  </si>
  <si>
    <t>kaush1308@gmail.com</t>
  </si>
  <si>
    <t>Muscat</t>
  </si>
  <si>
    <t>Monika Sankhla</t>
  </si>
  <si>
    <t>monikaox501@gmail.com</t>
  </si>
  <si>
    <t>Aparna Kalyan</t>
  </si>
  <si>
    <t>apps_20@yahoo.com</t>
  </si>
  <si>
    <t>Revathi Nagakumari</t>
  </si>
  <si>
    <t>revathinagakumari2005@gmail.com</t>
  </si>
  <si>
    <t>Arinlu Tikhak</t>
  </si>
  <si>
    <t>arintikhak5@gmail.com</t>
  </si>
  <si>
    <t>Arunachal Pradesh</t>
  </si>
  <si>
    <t>Changlang</t>
  </si>
  <si>
    <t>Akash Singh</t>
  </si>
  <si>
    <t>akashsinghcr745@gmail.com</t>
  </si>
  <si>
    <t>Vijaya Pingali</t>
  </si>
  <si>
    <t>pvklnrao@yahoo.com</t>
  </si>
  <si>
    <t>Sweden</t>
  </si>
  <si>
    <t>Stockholm</t>
  </si>
  <si>
    <t>Ankit Giri</t>
  </si>
  <si>
    <t>ankitgiri6541@gmail.com</t>
  </si>
  <si>
    <t>Nagaon</t>
  </si>
  <si>
    <t>Yuvaraj Dattapuram</t>
  </si>
  <si>
    <t>dattapuramyuvaraj@gmail.com</t>
  </si>
  <si>
    <t>408-887-7432</t>
  </si>
  <si>
    <t>Sunnyvale</t>
  </si>
  <si>
    <t>Gunjit Goel</t>
  </si>
  <si>
    <t>gkgoel19@gmail.com</t>
  </si>
  <si>
    <t>Leena Smita</t>
  </si>
  <si>
    <t>dsouzamithu@gmail.com</t>
  </si>
  <si>
    <t>Saudi Arabia</t>
  </si>
  <si>
    <t>ar-Riyad</t>
  </si>
  <si>
    <t>Kalpana Prabhu</t>
  </si>
  <si>
    <t>kalpanabprabhu2@gmail.com</t>
  </si>
  <si>
    <t>Udupi</t>
  </si>
  <si>
    <t>Sreevani Y</t>
  </si>
  <si>
    <t>sreevaniyaramaddu@gmail.com</t>
  </si>
  <si>
    <t>Dharshini AM</t>
  </si>
  <si>
    <t>dharshinikapoor20@gmail.com</t>
  </si>
  <si>
    <t>Erode</t>
  </si>
  <si>
    <t>Jayesh Bhave</t>
  </si>
  <si>
    <t>bhavejayesh@hotmail.com</t>
  </si>
  <si>
    <t>Ishani Chowdhury</t>
  </si>
  <si>
    <t>ishanichowdhury567@gmail.com</t>
  </si>
  <si>
    <t>Aakashkumar Arya</t>
  </si>
  <si>
    <t>aakashkumar1454845@gmail.com</t>
  </si>
  <si>
    <t>Rumpa Panda</t>
  </si>
  <si>
    <t>rumpapanda786@gmail.com</t>
  </si>
  <si>
    <t>Contai</t>
  </si>
  <si>
    <t>Shubham Kumar</t>
  </si>
  <si>
    <t>shubhamkumar1495ll@gmail.com</t>
  </si>
  <si>
    <t>Prashamsa Narayanadas</t>
  </si>
  <si>
    <t>prashamsa93@gmail.com</t>
  </si>
  <si>
    <t>Bhongir</t>
  </si>
  <si>
    <t>Sankit Kumar</t>
  </si>
  <si>
    <t>sankitkumar2699@gmail.com</t>
  </si>
  <si>
    <t>MAYUR BADGUJAR</t>
  </si>
  <si>
    <t>mayurbadgujar2006@gmail.com</t>
  </si>
  <si>
    <t>Sonakshi Sharma</t>
  </si>
  <si>
    <t>sonakshis.0725@gmail.com</t>
  </si>
  <si>
    <t>Siddhi Kunnawar</t>
  </si>
  <si>
    <t>siddhikunnawar123@gmail.com</t>
  </si>
  <si>
    <t>Gurushanthi Potluri</t>
  </si>
  <si>
    <t>gurushanthi.potluri@gmail.com</t>
  </si>
  <si>
    <t>Aanchal Sinha</t>
  </si>
  <si>
    <t>aanchal.sinha2022@vitstudent.ac.in</t>
  </si>
  <si>
    <t>Nishtha Sharan</t>
  </si>
  <si>
    <t>nishthasharan09@gmail.com</t>
  </si>
  <si>
    <t>firefly</t>
  </si>
  <si>
    <t>Niveditha CK</t>
  </si>
  <si>
    <t>nivibalaji88@gmail.com</t>
  </si>
  <si>
    <t>Georgia</t>
  </si>
  <si>
    <t>Atlanta</t>
  </si>
  <si>
    <t>Devaansh Rastogi</t>
  </si>
  <si>
    <t>devaanshrastogi27@gmail.com</t>
  </si>
  <si>
    <t>Bijnor</t>
  </si>
  <si>
    <t>Wajiha Fatima</t>
  </si>
  <si>
    <t>sehrish13craft@gmail.com</t>
  </si>
  <si>
    <t>78208 32193</t>
  </si>
  <si>
    <t>Shambhavi Tripathi</t>
  </si>
  <si>
    <t>tripathishambhavi899@gmail.com</t>
  </si>
  <si>
    <t>Kanpur</t>
  </si>
  <si>
    <t>Debalina Chatterjee</t>
  </si>
  <si>
    <t>debalina.chatterjee123@gmail.com</t>
  </si>
  <si>
    <t>Gautam Thakur</t>
  </si>
  <si>
    <t>gautamkumarthakur9132@gmail.com</t>
  </si>
  <si>
    <t>Divya Batra</t>
  </si>
  <si>
    <t>batradivya38@gmail.com</t>
  </si>
  <si>
    <t>Bina Railway Colony</t>
  </si>
  <si>
    <t>ASHA Padmanabha</t>
  </si>
  <si>
    <t>ashaa.padmanabha@gmail.com</t>
  </si>
  <si>
    <t>Gaurav Keshwani</t>
  </si>
  <si>
    <t>grvkeshwani@gmail.com</t>
  </si>
  <si>
    <t>Harshini Bodhu</t>
  </si>
  <si>
    <t>harshinibodhu@gmail.com</t>
  </si>
  <si>
    <t>Mahak Panwal</t>
  </si>
  <si>
    <t>mahakpanwal@gmail.com</t>
  </si>
  <si>
    <t>Ruchi Maloo</t>
  </si>
  <si>
    <t>ruchimaloo@gmail.com</t>
  </si>
  <si>
    <t>Rashmi Nuligonda</t>
  </si>
  <si>
    <t>rashminuligonda@gmail.com</t>
  </si>
  <si>
    <t>rukmanivenu31@gmail.com</t>
  </si>
  <si>
    <t>Ishita Patel</t>
  </si>
  <si>
    <t>ishitapatel2003@gmail.com</t>
  </si>
  <si>
    <t>Khushi Arora</t>
  </si>
  <si>
    <t>arorakhushii2001@gmail.com</t>
  </si>
  <si>
    <t>Saumya Varshney</t>
  </si>
  <si>
    <t>Hathras</t>
  </si>
  <si>
    <t>Sakshi S</t>
  </si>
  <si>
    <t>bhkrent@gmail.com</t>
  </si>
  <si>
    <t>Anand Nagar</t>
  </si>
  <si>
    <t>SUJOY Roy</t>
  </si>
  <si>
    <t>sujoyroy493@gmail.com</t>
  </si>
  <si>
    <t>Jalpaiguri</t>
  </si>
  <si>
    <t>Rashmi Mali</t>
  </si>
  <si>
    <t>rashmiiphone3@gmail.com</t>
  </si>
  <si>
    <t>Shrestha Sharma</t>
  </si>
  <si>
    <t>Shresthasharma58@gmail.com</t>
  </si>
  <si>
    <t>Mahima Vishwakarma</t>
  </si>
  <si>
    <t>Mahi74591@gmail.com</t>
  </si>
  <si>
    <t>Esha Bamba</t>
  </si>
  <si>
    <t>balujaesha@gmail.com</t>
  </si>
  <si>
    <t>Garima Tyagi</t>
  </si>
  <si>
    <t>garimatyagi27@gmail.com</t>
  </si>
  <si>
    <t>kyashpreet5@gmail.com</t>
  </si>
  <si>
    <t>Sasiritha Sankar</t>
  </si>
  <si>
    <t>sasi21ritha@gmail.com</t>
  </si>
  <si>
    <t>Ariyalur</t>
  </si>
  <si>
    <t>Vaishnav S</t>
  </si>
  <si>
    <t>vk04nitt@gmail.com</t>
  </si>
  <si>
    <t>Muskaan Mehta</t>
  </si>
  <si>
    <t>muskaanmehtaofficial@gmail.com</t>
  </si>
  <si>
    <t>batradivya96@gmail.com</t>
  </si>
  <si>
    <t>Sejal Katoch</t>
  </si>
  <si>
    <t>sejalkatoch7@gmail.com</t>
  </si>
  <si>
    <t>Muskan Kalirawana</t>
  </si>
  <si>
    <t>muskan.kalirawana@gmail.com</t>
  </si>
  <si>
    <t>Phagwara</t>
  </si>
  <si>
    <t>Varuni Nigam</t>
  </si>
  <si>
    <t>Varuninigam242@gmail.com</t>
  </si>
  <si>
    <t>Namrata Singh</t>
  </si>
  <si>
    <t>namrata.singh2021up@gmail.com</t>
  </si>
  <si>
    <t>Shivhar</t>
  </si>
  <si>
    <t>Radhika Patel</t>
  </si>
  <si>
    <t>patel.radhika@hotmail.com</t>
  </si>
  <si>
    <t>Virginia</t>
  </si>
  <si>
    <t>Leesburg</t>
  </si>
  <si>
    <t>Arpan Choudhury</t>
  </si>
  <si>
    <t>arpanchoudhury.iitjee@gmail.com</t>
  </si>
  <si>
    <t>Midnapur</t>
  </si>
  <si>
    <t>Rujuta D</t>
  </si>
  <si>
    <t>rdabak10@gmail.com</t>
  </si>
  <si>
    <t>Washington</t>
  </si>
  <si>
    <t>Redmond</t>
  </si>
  <si>
    <t>HIBA ANSAR</t>
  </si>
  <si>
    <t>hibaansar22@gmail.com</t>
  </si>
  <si>
    <t>Keerthana Ravichandran</t>
  </si>
  <si>
    <t>keerthanaravichandran99@gmail.com</t>
  </si>
  <si>
    <t>Alabama</t>
  </si>
  <si>
    <t>Huntsville</t>
  </si>
  <si>
    <t>ANKIT KUMAR</t>
  </si>
  <si>
    <t>ankitwindow9@gmail.com</t>
  </si>
  <si>
    <t>Lakhisarai</t>
  </si>
  <si>
    <t>Princekumar Kothadiya</t>
  </si>
  <si>
    <t>princekothadiya9243@gmail.com</t>
  </si>
  <si>
    <t>Santa Clara</t>
  </si>
  <si>
    <t>Satwik Rao</t>
  </si>
  <si>
    <t>satwikrao11@gmail.com</t>
  </si>
  <si>
    <t>Shrawani Autkar</t>
  </si>
  <si>
    <t>shravania2108@gmail.com</t>
  </si>
  <si>
    <t>Navya Nawal</t>
  </si>
  <si>
    <t>navyanawal4396@gmail.com</t>
  </si>
  <si>
    <t>Kasineni Nagendraprasad</t>
  </si>
  <si>
    <t>7981693885god@gmail.com</t>
  </si>
  <si>
    <t>Cuddapah</t>
  </si>
  <si>
    <t>amitkumar@gmail.com</t>
  </si>
  <si>
    <t>Agra</t>
  </si>
  <si>
    <t>Spandhen Shivakumar</t>
  </si>
  <si>
    <t>spandhankattimani125@gmail.com</t>
  </si>
  <si>
    <t>Gulbarga</t>
  </si>
  <si>
    <t>Priyanka Soni</t>
  </si>
  <si>
    <t>priyankas5866@gmail.com</t>
  </si>
  <si>
    <t>Khandwa</t>
  </si>
  <si>
    <t>Anjana K</t>
  </si>
  <si>
    <t>anjanak24112008@gmail.com</t>
  </si>
  <si>
    <t>Karur</t>
  </si>
  <si>
    <t>Nisha Choudhary</t>
  </si>
  <si>
    <t>Sandhya Singh</t>
  </si>
  <si>
    <t>rajput.250299@gmail.com</t>
  </si>
  <si>
    <t>Niharika Thakur</t>
  </si>
  <si>
    <t>niharikaaworks@gmail.com</t>
  </si>
  <si>
    <t>Ashna Khanna</t>
  </si>
  <si>
    <t>ashnakhanna3112@gmail.com</t>
  </si>
  <si>
    <t>Aashi Sharma</t>
  </si>
  <si>
    <t>aashisharma4907@gmail.com</t>
  </si>
  <si>
    <t>Moradabad</t>
  </si>
  <si>
    <t>SUPRIYA G</t>
  </si>
  <si>
    <t>gsupriya2001@gmail.com</t>
  </si>
  <si>
    <t>Shriya Reshi</t>
  </si>
  <si>
    <t>shriyareshi@gmail.com</t>
  </si>
  <si>
    <t>Amit Deshmukh</t>
  </si>
  <si>
    <t>Amit.deshmukh5686@icloud.com</t>
  </si>
  <si>
    <t>Pittsburgh</t>
  </si>
  <si>
    <t>Punit Kumar</t>
  </si>
  <si>
    <t>punitchess1805@gmail.com</t>
  </si>
  <si>
    <t>Bharat KumarPrasad</t>
  </si>
  <si>
    <t>bharatprasad23@gmail.com</t>
  </si>
  <si>
    <t>Neha Pathak</t>
  </si>
  <si>
    <t>npathak416@gmail.com</t>
  </si>
  <si>
    <t>Ayushi Singh</t>
  </si>
  <si>
    <t>ayurana1998@gmail.com</t>
  </si>
  <si>
    <t>Baghpat</t>
  </si>
  <si>
    <t>Harshita Khattar</t>
  </si>
  <si>
    <t>hkhattar16@gmail.com</t>
  </si>
  <si>
    <t>RISHABH SRIVASTAV</t>
  </si>
  <si>
    <t>srivastavrishabhvns2015@gmail.com</t>
  </si>
  <si>
    <t>Patibandla Yagnasri</t>
  </si>
  <si>
    <t>yagnasri397@gmail.com</t>
  </si>
  <si>
    <t>Bhadrachalam</t>
  </si>
  <si>
    <t>Devanshi Agarwal</t>
  </si>
  <si>
    <t>devanshia94@gmail.com</t>
  </si>
  <si>
    <t>AHLAM NAFAR</t>
  </si>
  <si>
    <t>nafarahlam24@gmail.com</t>
  </si>
  <si>
    <t>Morocco</t>
  </si>
  <si>
    <t>Casablanca</t>
  </si>
  <si>
    <t>ad-Dar-al-Bayda</t>
  </si>
  <si>
    <t>Kavitha Sureshkumar</t>
  </si>
  <si>
    <t>kavithasureshkumar@gmail.com</t>
  </si>
  <si>
    <t>Tisya Sondhi</t>
  </si>
  <si>
    <t>tisyasondhi10@gmail.com</t>
  </si>
  <si>
    <t>Samriddhi Agrawal</t>
  </si>
  <si>
    <t>samriddhiagrawal1117@gmail.com</t>
  </si>
  <si>
    <t>Pratapgarh</t>
  </si>
  <si>
    <t>Rana Mishra</t>
  </si>
  <si>
    <t>rana.mishra270@gmail.com</t>
  </si>
  <si>
    <t>Shreya Dalal</t>
  </si>
  <si>
    <t>dalalshreya860@gmail.com</t>
  </si>
  <si>
    <t>Subiksha Shankar</t>
  </si>
  <si>
    <t>h.subiksha@gmail.com</t>
  </si>
  <si>
    <t>SathyaKesav Thentu</t>
  </si>
  <si>
    <t>sathyakesavthentu@gmail.com</t>
  </si>
  <si>
    <t>Ankur Srivastava</t>
  </si>
  <si>
    <t>mca2k6.jsr@gmail.com</t>
  </si>
  <si>
    <t>Gargi Tripathi</t>
  </si>
  <si>
    <t>gargiiitripathiii@gmail.com</t>
  </si>
  <si>
    <t>Jhansi</t>
  </si>
  <si>
    <t>Aman Kumar</t>
  </si>
  <si>
    <t>rajputjay1215@gmail.com</t>
  </si>
  <si>
    <t>Jenson Zachariah</t>
  </si>
  <si>
    <t>storiesmedia24x7@gmail.com</t>
  </si>
  <si>
    <t>Kochi</t>
  </si>
  <si>
    <t>Shreya Singh</t>
  </si>
  <si>
    <t>shreyasingh492@gmail.com</t>
  </si>
  <si>
    <t>Purnia</t>
  </si>
  <si>
    <t>Pranav Fuke</t>
  </si>
  <si>
    <t>pranavfuke0109@gmail.com</t>
  </si>
  <si>
    <t>Kanchan Mala</t>
  </si>
  <si>
    <t>kanchan.shah06@gmail.com</t>
  </si>
  <si>
    <t>Audubon</t>
  </si>
  <si>
    <t>Krithika Selvam</t>
  </si>
  <si>
    <t>krithikaselvam958@gmail.com</t>
  </si>
  <si>
    <t>Madurai</t>
  </si>
  <si>
    <t>Riah Prasat</t>
  </si>
  <si>
    <t>riahprasat@gmail.com</t>
  </si>
  <si>
    <t>Deepali Polepalli</t>
  </si>
  <si>
    <t>polepallid@gmail.com</t>
  </si>
  <si>
    <t>Suraj Pal</t>
  </si>
  <si>
    <t>tanwarsuraj051@gmail.com</t>
  </si>
  <si>
    <t>Bhiwani</t>
  </si>
  <si>
    <t>Renu Harsh</t>
  </si>
  <si>
    <t>nupur.harsh24@gmail.com</t>
  </si>
  <si>
    <t>Bikaner</t>
  </si>
  <si>
    <t>Sharmil Akhter</t>
  </si>
  <si>
    <t>sharmilakhter901@gmail.com</t>
  </si>
  <si>
    <t>Patna</t>
  </si>
  <si>
    <t>Daksh Jain</t>
  </si>
  <si>
    <t>dakshjainn2004@gmail.com</t>
  </si>
  <si>
    <t>Aryan Bharti</t>
  </si>
  <si>
    <t>aryanbharti165@gmail.com</t>
  </si>
  <si>
    <t>Choden Sherpa</t>
  </si>
  <si>
    <t>Sikkim</t>
  </si>
  <si>
    <t>Namchi</t>
  </si>
  <si>
    <t>Anushka Tyagi</t>
  </si>
  <si>
    <t>anushkatyagi703@gmail.com</t>
  </si>
  <si>
    <t>Avika Dhukia</t>
  </si>
  <si>
    <t>avikadhukia1642@gmail.com</t>
  </si>
  <si>
    <t>Jhunjhunun</t>
  </si>
  <si>
    <t>Birju Ranawat</t>
  </si>
  <si>
    <t>ranawat.spl@gmail.com</t>
  </si>
  <si>
    <t>Birju Ranawat Coaching Centre</t>
  </si>
  <si>
    <t>Jayashree Venkatakrishnan</t>
  </si>
  <si>
    <t>jayashreemisc2001@gmail.com</t>
  </si>
  <si>
    <t>Quebec</t>
  </si>
  <si>
    <t>Montreal</t>
  </si>
  <si>
    <t>Robin Marwal</t>
  </si>
  <si>
    <t>robinmarwal@gmail.com</t>
  </si>
  <si>
    <t>Aarju Dwivedi</t>
  </si>
  <si>
    <t>aarjudwi@gmail.com</t>
  </si>
  <si>
    <t>Dona Sarkar</t>
  </si>
  <si>
    <t>donasarkar542@gmail.com</t>
  </si>
  <si>
    <t>Ranaghat</t>
  </si>
  <si>
    <t>Sowmya Arunajatesan</t>
  </si>
  <si>
    <t>sowmya.jatesan@gmail.com</t>
  </si>
  <si>
    <t>Lita Murmu</t>
  </si>
  <si>
    <t>litamurmuyt@gmail.com</t>
  </si>
  <si>
    <t>Chakulia</t>
  </si>
  <si>
    <t>Meghna Nautiyal</t>
  </si>
  <si>
    <t>meghna.nautiyal1@gmail.com</t>
  </si>
  <si>
    <t>90157 41367</t>
  </si>
  <si>
    <t>Nashik</t>
  </si>
  <si>
    <t>Angela C</t>
  </si>
  <si>
    <t>angels.educator@gmail.com</t>
  </si>
  <si>
    <t>Yelahanka</t>
  </si>
  <si>
    <t>Niharika Sharma</t>
  </si>
  <si>
    <t>niharika.tsr@gmail.com</t>
  </si>
  <si>
    <t>Vastergotland</t>
  </si>
  <si>
    <t>Gothenburg</t>
  </si>
  <si>
    <t>B Yugendran</t>
  </si>
  <si>
    <t>byugendran5@gmail.com</t>
  </si>
  <si>
    <t>Rashmiranjan Mohanty</t>
  </si>
  <si>
    <t>rashmiranjan263@gmail.com</t>
  </si>
  <si>
    <t>Veena Rao</t>
  </si>
  <si>
    <t>srao.veena@gmail.com</t>
  </si>
  <si>
    <t>Connecticut</t>
  </si>
  <si>
    <t>Orange</t>
  </si>
  <si>
    <t>Amirtha K</t>
  </si>
  <si>
    <t>amirthak2004@gmail.com</t>
  </si>
  <si>
    <t>Dipanshi Bhardwaj</t>
  </si>
  <si>
    <t>dipanshibhardwaj4@gmail.com</t>
  </si>
  <si>
    <t>Vaishnavi Baranwal</t>
  </si>
  <si>
    <t>vaishu3701@gmail.com</t>
  </si>
  <si>
    <t>Jaunpur</t>
  </si>
  <si>
    <t>Saroj Ghosh</t>
  </si>
  <si>
    <t>sarojghosh735@gmail.com</t>
  </si>
  <si>
    <t>Neha Gehani</t>
  </si>
  <si>
    <t>gehani.neha88@gmail.com</t>
  </si>
  <si>
    <t>North Carolina</t>
  </si>
  <si>
    <t>Huntersville</t>
  </si>
  <si>
    <t>Vatsala Singh</t>
  </si>
  <si>
    <t>jadaunvatsala@gmail.com</t>
  </si>
  <si>
    <t>Alok V</t>
  </si>
  <si>
    <t>alok.varma@gmail.com</t>
  </si>
  <si>
    <t>San Francisco</t>
  </si>
  <si>
    <t>Sarada Vaishnav</t>
  </si>
  <si>
    <t>sarada.k.vaishnav@gmail.com</t>
  </si>
  <si>
    <t>Shubhangi Mishra</t>
  </si>
  <si>
    <t>shubimishra36@gmail.com</t>
  </si>
  <si>
    <t>SAIKANNAN KRISHAMOORTHY</t>
  </si>
  <si>
    <t>ksaikannan@gmail.com</t>
  </si>
  <si>
    <t>Krishna Mahato</t>
  </si>
  <si>
    <t>krishnamahato704@gmail.com</t>
  </si>
  <si>
    <t>Kaushiki Patel</t>
  </si>
  <si>
    <t>kaushikip2021@gmail.com</t>
  </si>
  <si>
    <t>Layaa Nageshwaran</t>
  </si>
  <si>
    <t>layaalayu3@gmail.com</t>
  </si>
  <si>
    <t>Sheetal Chauhan</t>
  </si>
  <si>
    <t>sheetalchauhan188@yahoo.com</t>
  </si>
  <si>
    <t>Kavitha Shree</t>
  </si>
  <si>
    <t>kavithashreerv@gmail.com</t>
  </si>
  <si>
    <t>mahadeo bhosale</t>
  </si>
  <si>
    <t>mahadeo2015@gmail.com</t>
  </si>
  <si>
    <t>Swati Guha</t>
  </si>
  <si>
    <t>dr.swati1122@gmail.com</t>
  </si>
  <si>
    <t>Balod</t>
  </si>
  <si>
    <t>Saurabh Desai</t>
  </si>
  <si>
    <t>saurabh.satish.desai@gmail.com</t>
  </si>
  <si>
    <t>Suvesha C</t>
  </si>
  <si>
    <t>suvesha96@gmail.com</t>
  </si>
  <si>
    <t>Siva Chaitanya</t>
  </si>
  <si>
    <t>sivachaitanya30@gmail.com</t>
  </si>
  <si>
    <t>Ujjawal Gour</t>
  </si>
  <si>
    <t>ujjawal910.gour@gmail.com</t>
  </si>
  <si>
    <t>Harda</t>
  </si>
  <si>
    <t>Shubham Shubham</t>
  </si>
  <si>
    <t>sk200310y@gmail.com</t>
  </si>
  <si>
    <t>Siliguri</t>
  </si>
  <si>
    <t>dakshitash2005@gmail.com</t>
  </si>
  <si>
    <t>Anuradhs Arun</t>
  </si>
  <si>
    <t>anulambu@gmail.com</t>
  </si>
  <si>
    <t>Aditi Kabra</t>
  </si>
  <si>
    <t>aditikabra1202@gmail.com</t>
  </si>
  <si>
    <t>Gopi Yadav</t>
  </si>
  <si>
    <t>gopicyadav2003@gmail.com</t>
  </si>
  <si>
    <t>Vijetha Dewarasetty</t>
  </si>
  <si>
    <t>vijetha.dewarasetty24@gmail.com</t>
  </si>
  <si>
    <t>980-405-4055</t>
  </si>
  <si>
    <t>Charlotte</t>
  </si>
  <si>
    <t>AHAMED YOONUS</t>
  </si>
  <si>
    <t>holiday.pblms@gmail.com</t>
  </si>
  <si>
    <t>Kayalpattinam</t>
  </si>
  <si>
    <t>Amit Thakur</t>
  </si>
  <si>
    <t>amitaadharshila8@gmail.com</t>
  </si>
  <si>
    <t>Jogindarnagar</t>
  </si>
  <si>
    <t>Abhiram Tumarada</t>
  </si>
  <si>
    <t>abhiramsiu@gmail.com</t>
  </si>
  <si>
    <t>Sabinkar Rohit</t>
  </si>
  <si>
    <t>rohitsabinkar@gmail.com</t>
  </si>
  <si>
    <t>Warangal</t>
  </si>
  <si>
    <t>Foram Nayak</t>
  </si>
  <si>
    <t>foramnayak1102@gmail.com</t>
  </si>
  <si>
    <t>Vapi</t>
  </si>
  <si>
    <t>Sindhu Namani</t>
  </si>
  <si>
    <t>sindhunamani0426@gmail.com</t>
  </si>
  <si>
    <t>Maithreyee Vatsan</t>
  </si>
  <si>
    <t>mvatsan01@gmail.com</t>
  </si>
  <si>
    <t>Saratoga</t>
  </si>
  <si>
    <t>Subas Chandran</t>
  </si>
  <si>
    <t>Subas0612@gmail.com</t>
  </si>
  <si>
    <t>Amarnath C</t>
  </si>
  <si>
    <t>Talipparamba</t>
  </si>
  <si>
    <t>Harsh Bansal</t>
  </si>
  <si>
    <t>harrybansalindia@gmail.com</t>
  </si>
  <si>
    <t>Kaithal</t>
  </si>
  <si>
    <t>Tanya Gupta</t>
  </si>
  <si>
    <t>Tanyamannsi@gmail.com</t>
  </si>
  <si>
    <t>SANTHOSH S</t>
  </si>
  <si>
    <t>santhoshsathyamoorthy35@gmail.com</t>
  </si>
  <si>
    <t>Pondicherry</t>
  </si>
  <si>
    <t>Sarthak Solanki</t>
  </si>
  <si>
    <t>sarthaksolanki143@gmail.com</t>
  </si>
  <si>
    <t>Srimayee Andaluri</t>
  </si>
  <si>
    <t>melodysree@gmail.com</t>
  </si>
  <si>
    <t>Swara Karnik</t>
  </si>
  <si>
    <t>karnikswara01@gmail.com</t>
  </si>
  <si>
    <t>Kriti Purkayastha</t>
  </si>
  <si>
    <t>kritipurkayastha682@gmail.com</t>
  </si>
  <si>
    <t>Asmi Loona</t>
  </si>
  <si>
    <t>loonaasmi@gmail.com</t>
  </si>
  <si>
    <t>Jalalabad</t>
  </si>
  <si>
    <t>Maniinderpreet Kaur</t>
  </si>
  <si>
    <t>maniinderaulakh486@gmail.com</t>
  </si>
  <si>
    <t>Muktsar</t>
  </si>
  <si>
    <t>Neetu Sethi</t>
  </si>
  <si>
    <t>neeturawat146@gmail.com</t>
  </si>
  <si>
    <t>Aditi Gandhi</t>
  </si>
  <si>
    <t>aditigandhi7792@gmail.com</t>
  </si>
  <si>
    <t>Sneha Kashyap</t>
  </si>
  <si>
    <t>kashyapneet09@gmail.com</t>
  </si>
  <si>
    <t>Madhubani</t>
  </si>
  <si>
    <t>Yaksh Singhal</t>
  </si>
  <si>
    <t>singhalyaksh34@gmail.com</t>
  </si>
  <si>
    <t>Sikandarabad</t>
  </si>
  <si>
    <t>Suraj Pandit</t>
  </si>
  <si>
    <t>surajpandit2037@gmail.com</t>
  </si>
  <si>
    <t>Gurleen Kaur</t>
  </si>
  <si>
    <t>gurleenkr295@gmail.com</t>
  </si>
  <si>
    <t>Amritsar</t>
  </si>
  <si>
    <t>Mahadev Dash</t>
  </si>
  <si>
    <t>dash.elect@gmail.com</t>
  </si>
  <si>
    <t>Paradip</t>
  </si>
  <si>
    <t>Ajay Pagrut</t>
  </si>
  <si>
    <t>ajaypagrutof@gmail.com</t>
  </si>
  <si>
    <t>Akola</t>
  </si>
  <si>
    <t>Ravindra Kumar</t>
  </si>
  <si>
    <t>ravindrachadar314@gmail.com</t>
  </si>
  <si>
    <t>Gwalior</t>
  </si>
  <si>
    <t>Kuldeep Sharma</t>
  </si>
  <si>
    <t>sharma.kuldeep0014@gmail.com</t>
  </si>
  <si>
    <t>Neha Mehta</t>
  </si>
  <si>
    <t>neha_gupta18@yahoo.com</t>
  </si>
  <si>
    <t>Kanchan Sharma</t>
  </si>
  <si>
    <t>kanchanabc462@gmail.com</t>
  </si>
  <si>
    <t>Solan</t>
  </si>
  <si>
    <t>Sneha Nerlekar</t>
  </si>
  <si>
    <t>nerlekarsneha16@gmail.com</t>
  </si>
  <si>
    <t>Deepa Badrinarayan</t>
  </si>
  <si>
    <t>dbn1729@gmail.com</t>
  </si>
  <si>
    <t>Suchana Chakraborty</t>
  </si>
  <si>
    <t>suchanachakraborty491@gmail.com</t>
  </si>
  <si>
    <t>P PH</t>
  </si>
  <si>
    <t>preethy.ph@gmail.com</t>
  </si>
  <si>
    <t>Shraddha Verma</t>
  </si>
  <si>
    <t>shraddhasv1213@gmail.com</t>
  </si>
  <si>
    <t>Samruddhi Phuke</t>
  </si>
  <si>
    <t>ssp282007@gmail.com</t>
  </si>
  <si>
    <t>Vismaya T</t>
  </si>
  <si>
    <t>t.vismaya716@gmail.com</t>
  </si>
  <si>
    <t>Samaira Puri</t>
  </si>
  <si>
    <t>samaira0404@gmail.com</t>
  </si>
  <si>
    <t>KANAK RAJ</t>
  </si>
  <si>
    <t>rajkanak0109@gmail.com</t>
  </si>
  <si>
    <t>Prachi Pranjal</t>
  </si>
  <si>
    <t>prachipranjal0429@gmail.com</t>
  </si>
  <si>
    <t>Padma Shenoy</t>
  </si>
  <si>
    <t>padmashenoy29@gmail.com</t>
  </si>
  <si>
    <t>Mulki</t>
  </si>
  <si>
    <t>Sneha Biswas</t>
  </si>
  <si>
    <t>biswassneha093@gmail.com</t>
  </si>
  <si>
    <t>Himanshu Pal</t>
  </si>
  <si>
    <t>himanshupal131@gmail.com</t>
  </si>
  <si>
    <t>Akshata Hegde</t>
  </si>
  <si>
    <t>akswrites1082@gmail.com</t>
  </si>
  <si>
    <t>Colorado</t>
  </si>
  <si>
    <t>Englewood</t>
  </si>
  <si>
    <t>Sravani Gostu</t>
  </si>
  <si>
    <t>sravanisusmitha22@gmail.com</t>
  </si>
  <si>
    <t>Blacksburg</t>
  </si>
  <si>
    <t>Spandana K</t>
  </si>
  <si>
    <t>dakshahinigowda@gmail.com</t>
  </si>
  <si>
    <t>Raghu Gubba</t>
  </si>
  <si>
    <t>raghugubba28@gmail.com</t>
  </si>
  <si>
    <t>Sheetal Agarwal</t>
  </si>
  <si>
    <t>agrwalsheetal76@gmail.com</t>
  </si>
  <si>
    <t>Nalagarh</t>
  </si>
  <si>
    <t>Jyoti Phalke</t>
  </si>
  <si>
    <t>shreyasphalke@gmail.com</t>
  </si>
  <si>
    <t>Yash Vishwakarma</t>
  </si>
  <si>
    <t>yash200vi@gmail.com</t>
  </si>
  <si>
    <t>Akanksha Gupta</t>
  </si>
  <si>
    <t>30g.akanksha@gmail.com</t>
  </si>
  <si>
    <t>Udisha Agarwal</t>
  </si>
  <si>
    <t>udishaagarwal777@gmail.com</t>
  </si>
  <si>
    <t>AYUB KHAN</t>
  </si>
  <si>
    <t>ayubahmedkhan01@gmail.com</t>
  </si>
  <si>
    <t>Gossaigaon</t>
  </si>
  <si>
    <t>Ruchika Khatana</t>
  </si>
  <si>
    <t>ruchikakhatana0011@gmail.com</t>
  </si>
  <si>
    <t>Aarushi Jain</t>
  </si>
  <si>
    <t>pennedideas1495@gmail.com</t>
  </si>
  <si>
    <t>Chandrapur</t>
  </si>
  <si>
    <t>GOKUL MITTAL</t>
  </si>
  <si>
    <t>mittalgokul@gmail.com</t>
  </si>
  <si>
    <t>Sanika Jadhav</t>
  </si>
  <si>
    <t>jadhavsanika696@gmail.com</t>
  </si>
  <si>
    <t>Beed</t>
  </si>
  <si>
    <t>Anamika Prajapati</t>
  </si>
  <si>
    <t>dp907305@gmail.com</t>
  </si>
  <si>
    <t>Chhatarpur</t>
  </si>
  <si>
    <t>Supriya D</t>
  </si>
  <si>
    <t>supriyahd20072026@gmail.com</t>
  </si>
  <si>
    <t>Mysore</t>
  </si>
  <si>
    <t>Vansh Kundu</t>
  </si>
  <si>
    <t>kunduvansh56@gmail.com</t>
  </si>
  <si>
    <t>Panipat</t>
  </si>
  <si>
    <t>Ujjwal Raj</t>
  </si>
  <si>
    <t>ujjwal80920@gmail.com</t>
  </si>
  <si>
    <t>Bihar Sharif</t>
  </si>
  <si>
    <t>Shubham Gujarathi</t>
  </si>
  <si>
    <t>s.gujarathi2002@gmail.com</t>
  </si>
  <si>
    <t>Surat</t>
  </si>
  <si>
    <t>Manasa Eleswarapu</t>
  </si>
  <si>
    <t>manasa.eleswarapu@gmail.com</t>
  </si>
  <si>
    <t>Pranitha Anil</t>
  </si>
  <si>
    <t>pranithaanil29@gmail.com</t>
  </si>
  <si>
    <t>Meena Bharti</t>
  </si>
  <si>
    <t>m7006899861@gmail.com</t>
  </si>
  <si>
    <t>Ruchita Raghunandan</t>
  </si>
  <si>
    <t>ruchita.ruhan@gmail.com</t>
  </si>
  <si>
    <t>Denver</t>
  </si>
  <si>
    <t>Sufin Raj</t>
  </si>
  <si>
    <t>sun.rj7@gmail.com</t>
  </si>
  <si>
    <t>Anubhav Kara</t>
  </si>
  <si>
    <t>anubhavkarakara@gmail.com</t>
  </si>
  <si>
    <t>Priyanka Khemka</t>
  </si>
  <si>
    <t>priyanka.khemka11@gmail.com</t>
  </si>
  <si>
    <t>Gopal Ramesh</t>
  </si>
  <si>
    <t>rameshg1020@gmail.com</t>
  </si>
  <si>
    <t>Madison</t>
  </si>
  <si>
    <t>Ritika Tiwari</t>
  </si>
  <si>
    <t>ritikatiwari2547@gmail.com</t>
  </si>
  <si>
    <t>Hoshiarpur</t>
  </si>
  <si>
    <t>Parul Jain</t>
  </si>
  <si>
    <t>parul161272@gmail.com</t>
  </si>
  <si>
    <t>Kuwait</t>
  </si>
  <si>
    <t>al-Ahmadi</t>
  </si>
  <si>
    <t>al-Mahbulah</t>
  </si>
  <si>
    <t>Anupama R</t>
  </si>
  <si>
    <t>nesarasnehi7@gmail.com</t>
  </si>
  <si>
    <t>Ashima Kaushal</t>
  </si>
  <si>
    <t>kaushalashima6@gmail.com</t>
  </si>
  <si>
    <t>Mahima Jangid</t>
  </si>
  <si>
    <t>mahimajangid54@gmail.com</t>
  </si>
  <si>
    <t>Kinjal Joshi</t>
  </si>
  <si>
    <t>kinjaljoshi558@gmail.com</t>
  </si>
  <si>
    <t>Ohio</t>
  </si>
  <si>
    <t>Dayton</t>
  </si>
  <si>
    <t>Baranika S</t>
  </si>
  <si>
    <t>baranikasundharamoorthi2004@gmail.com</t>
  </si>
  <si>
    <t>Swati Gautam</t>
  </si>
  <si>
    <t>swati.88dec@gmail.com</t>
  </si>
  <si>
    <t>Mazina Thameem</t>
  </si>
  <si>
    <t>mazinatamim@gmail.com</t>
  </si>
  <si>
    <t>Tirur</t>
  </si>
  <si>
    <t>Kristeffany Tautuan</t>
  </si>
  <si>
    <t>steffany.gkvt@gmail.com</t>
  </si>
  <si>
    <t>Philippines</t>
  </si>
  <si>
    <t>Mactan</t>
  </si>
  <si>
    <t>Naganjali Mallepogula</t>
  </si>
  <si>
    <t>naganjali151@gmail.com</t>
  </si>
  <si>
    <t>Nandyal</t>
  </si>
  <si>
    <t>Hitha Marpuri</t>
  </si>
  <si>
    <t>hithamarpuri2008@gmail.com</t>
  </si>
  <si>
    <t>Sugandi Shyam</t>
  </si>
  <si>
    <t>sugandishyam964@gmail.com</t>
  </si>
  <si>
    <t>Rosalpatti</t>
  </si>
  <si>
    <t>Anubha Bisht</t>
  </si>
  <si>
    <t>anubha.bisht1987@gmail.com</t>
  </si>
  <si>
    <t>Arya Bhayekar</t>
  </si>
  <si>
    <t>aaryainbox05@gmail.com</t>
  </si>
  <si>
    <t>Nanded</t>
  </si>
  <si>
    <t>Paulami Bakshi</t>
  </si>
  <si>
    <t>paulkolkata2020@gmail.com</t>
  </si>
  <si>
    <t>DIPTA SIKDAR</t>
  </si>
  <si>
    <t>sikdardipta@gmail.com</t>
  </si>
  <si>
    <t>24 Parganas (s)</t>
  </si>
  <si>
    <t>Vaishnavi Pagadala</t>
  </si>
  <si>
    <t>vaish.pm@gmail.com</t>
  </si>
  <si>
    <t>Hamburg</t>
  </si>
  <si>
    <t>BREMMI S</t>
  </si>
  <si>
    <t>vaishungl1999@gmail.com</t>
  </si>
  <si>
    <t>Nagercoil</t>
  </si>
  <si>
    <t>Kritika Chaubey</t>
  </si>
  <si>
    <t>kritikachaubey111@gmail.com</t>
  </si>
  <si>
    <t>Anushareddy Padigepati</t>
  </si>
  <si>
    <t>pvanushareddy@gmail.com</t>
  </si>
  <si>
    <t>Sampath Kumar</t>
  </si>
  <si>
    <t>sampathallu1511@gmail.com</t>
  </si>
  <si>
    <t>Shruti Pandey</t>
  </si>
  <si>
    <t>shrutijsp@gmail.com</t>
  </si>
  <si>
    <t>New Jersey</t>
  </si>
  <si>
    <t>Jersey City</t>
  </si>
  <si>
    <t>Vasu P</t>
  </si>
  <si>
    <t>pvasu6072@gmail.com</t>
  </si>
  <si>
    <t>Sholinganallur</t>
  </si>
  <si>
    <t>Arpit Khandelwal</t>
  </si>
  <si>
    <t>masterarpit10@gmail.com</t>
  </si>
  <si>
    <t>Jaikrrish SR</t>
  </si>
  <si>
    <t>jaikrrishsr@gmail.com</t>
  </si>
  <si>
    <t>Poornima Poornima</t>
  </si>
  <si>
    <t>poornimayuvaraj2007@gmail.com</t>
  </si>
  <si>
    <t>Sandhya Krishnan</t>
  </si>
  <si>
    <t>sandhyakrishnan1990@gmail.com</t>
  </si>
  <si>
    <t>Navya Garg</t>
  </si>
  <si>
    <t>navyagrg2008@gmail.com</t>
  </si>
  <si>
    <t>Prajwal Dule</t>
  </si>
  <si>
    <t>prajwaldule58@gmail.com</t>
  </si>
  <si>
    <t>Aditi Jain</t>
  </si>
  <si>
    <t>aditijainadii05@gmail.com</t>
  </si>
  <si>
    <t>Sindhnur</t>
  </si>
  <si>
    <t>Aditi Singh Parihar</t>
  </si>
  <si>
    <t>aditisinghparihar17@gmail.com</t>
  </si>
  <si>
    <t>Juli Bisoi</t>
  </si>
  <si>
    <t>julibisoi26@gmail.com</t>
  </si>
  <si>
    <t>98678-57898</t>
  </si>
  <si>
    <t>DIYA Godara</t>
  </si>
  <si>
    <t>diyagodara04@gmail.com</t>
  </si>
  <si>
    <t>Sargam Gupta</t>
  </si>
  <si>
    <t>sargamgupt09@gmail.com</t>
  </si>
  <si>
    <t>Bilaspur</t>
  </si>
  <si>
    <t>Rakhee Patil</t>
  </si>
  <si>
    <t>rakhee8879@gmail.com</t>
  </si>
  <si>
    <t>Hitesh Bhandari</t>
  </si>
  <si>
    <t>harshbhandari2008@gmail.com</t>
  </si>
  <si>
    <t>Sreeya Kottam</t>
  </si>
  <si>
    <t>skottam2004@gmail.com</t>
  </si>
  <si>
    <t>Anisha A</t>
  </si>
  <si>
    <t>anisha.agarkhed@gmail.com</t>
  </si>
  <si>
    <t>Nikita Kasurde</t>
  </si>
  <si>
    <t>nikitakasurde80@gmail.com</t>
  </si>
  <si>
    <t>Nishchay Pratap</t>
  </si>
  <si>
    <t>nishchaypratapktl@gmail.com</t>
  </si>
  <si>
    <t>Sreedevi Rajesh</t>
  </si>
  <si>
    <t>sredevi.rajesh@gmail.com</t>
  </si>
  <si>
    <t>Dallas</t>
  </si>
  <si>
    <t>Praveen Shinde</t>
  </si>
  <si>
    <t>sbgroupsproject@gmail.com</t>
  </si>
  <si>
    <t>SBCC -SB CAREERS &amp; EDUCATION CONSULTANTS</t>
  </si>
  <si>
    <t>Dinesh Babu</t>
  </si>
  <si>
    <t>vetrivelenglish94@gmail.com</t>
  </si>
  <si>
    <t>Paridhi Tripathi</t>
  </si>
  <si>
    <t>paridhitripathi200@gmail.com</t>
  </si>
  <si>
    <t>Deoria</t>
  </si>
  <si>
    <t>Nandini Mittal</t>
  </si>
  <si>
    <t>nandiniagg4@gmail.com</t>
  </si>
  <si>
    <t>Parimita Sengupta</t>
  </si>
  <si>
    <t>parimita2@gmail.com</t>
  </si>
  <si>
    <t>Alkchendra Pushkar</t>
  </si>
  <si>
    <t>alkchendra.pushkar@gmail.com</t>
  </si>
  <si>
    <t>PavanKumar Sadhu</t>
  </si>
  <si>
    <t>Pavankumarsadhu0711@gmail.com</t>
  </si>
  <si>
    <t>Narasannapeta</t>
  </si>
  <si>
    <t>Moumita Garai</t>
  </si>
  <si>
    <t>moumitagarai123@gmail.com</t>
  </si>
  <si>
    <t>Swarnali Biswas</t>
  </si>
  <si>
    <t>swarnali.biswas14@gmail.com</t>
  </si>
  <si>
    <t>Srinivasulu Papineni</t>
  </si>
  <si>
    <t>srinivasnaidu83@yahoo.com</t>
  </si>
  <si>
    <t>Kovuru Mounika</t>
  </si>
  <si>
    <t>kovurumounika9@gmail.com</t>
  </si>
  <si>
    <t>Mahesh Khatri</t>
  </si>
  <si>
    <t>maheshkkhatri@Yahoo.com</t>
  </si>
  <si>
    <t>Jeyabalaji Rajkumar</t>
  </si>
  <si>
    <t>saijeya009@gmail.com</t>
  </si>
  <si>
    <t>Thiruchirapalli</t>
  </si>
  <si>
    <t>Sharan Advaith</t>
  </si>
  <si>
    <t>iadvaith21@gmail.com</t>
  </si>
  <si>
    <t>Jambu R</t>
  </si>
  <si>
    <t>jambulingamr@kpmg.com</t>
  </si>
  <si>
    <t>Sangram Swar</t>
  </si>
  <si>
    <t>sangramswar@gmail.com</t>
  </si>
  <si>
    <t>Akhil Sasidharan</t>
  </si>
  <si>
    <t>akhilsct@gmail.com</t>
  </si>
  <si>
    <t>Abhishek Pathania</t>
  </si>
  <si>
    <t>abhi2003.ap@gmail.com</t>
  </si>
  <si>
    <t>Swati Bobade</t>
  </si>
  <si>
    <t>swatibobade97@gmail.com</t>
  </si>
  <si>
    <t>KPMG Global Services</t>
  </si>
  <si>
    <t>Neha Bajpai</t>
  </si>
  <si>
    <t>neha.mishra27oct@gmail.com</t>
  </si>
  <si>
    <t>Needa Mittha</t>
  </si>
  <si>
    <t>needamittha98@gmail.com</t>
  </si>
  <si>
    <t>Gunjan Kamat</t>
  </si>
  <si>
    <t>gunjankamat20@gmail.com</t>
  </si>
  <si>
    <t>Abha Raina</t>
  </si>
  <si>
    <t>abharaina29@gmail.com</t>
  </si>
  <si>
    <t>Satyam Pandey</t>
  </si>
  <si>
    <t>satyampandey009@gmail.com</t>
  </si>
  <si>
    <t>Nivedita Dhawan</t>
  </si>
  <si>
    <t>niveditadhawan@gmail.com</t>
  </si>
  <si>
    <t>Jeevan Pragada</t>
  </si>
  <si>
    <t>jeevanpragada@gmail.com</t>
  </si>
  <si>
    <t>Bommasandra</t>
  </si>
  <si>
    <t>Ashwini Gulati</t>
  </si>
  <si>
    <t>ashwinletstalk@gmail.com</t>
  </si>
  <si>
    <t>Ruth G</t>
  </si>
  <si>
    <t>neelam.rosy@gmail.com</t>
  </si>
  <si>
    <t>Merlyn Pereira</t>
  </si>
  <si>
    <t>merlynpriyanka61@gmail.com</t>
  </si>
  <si>
    <t>Manjula Gundala</t>
  </si>
  <si>
    <t>manjugundala17@gmail.com</t>
  </si>
  <si>
    <t>Shreya Guha</t>
  </si>
  <si>
    <t>guhashreya20@gmail.com</t>
  </si>
  <si>
    <t>Karthikeyan Venkatraman</t>
  </si>
  <si>
    <t>vk111289@gmail.com</t>
  </si>
  <si>
    <t>Kanhaiya Kumar</t>
  </si>
  <si>
    <t>kanhaiyakumar310399@gmail.com</t>
  </si>
  <si>
    <t>Rahul Swami</t>
  </si>
  <si>
    <t>rahulswami4225@gmail.com</t>
  </si>
  <si>
    <t>Swetha Reddy</t>
  </si>
  <si>
    <t>swethareddy1315@gmail.com</t>
  </si>
  <si>
    <t>Sayantani Chakraborty</t>
  </si>
  <si>
    <t>sayantanichak1991@gmail.com</t>
  </si>
  <si>
    <t>Surya Chauhan</t>
  </si>
  <si>
    <t>suryaredalert13@gmail.com</t>
  </si>
  <si>
    <t>Kashish Gupta</t>
  </si>
  <si>
    <t>kashishvgupta2001@gmail.com</t>
  </si>
  <si>
    <t>Bhavya Vohra</t>
  </si>
  <si>
    <t>vohrabhavya26@gmail.com</t>
  </si>
  <si>
    <t>Milind Kosle</t>
  </si>
  <si>
    <t>milindkosle9@gmail.com</t>
  </si>
  <si>
    <t>Shefali Shrivastava</t>
  </si>
  <si>
    <t>shefalishrivastava26@gmail.com</t>
  </si>
  <si>
    <t>Shashi Bhushan</t>
  </si>
  <si>
    <t>bhushan.ready@gmail.com</t>
  </si>
  <si>
    <t>Uttara Goel</t>
  </si>
  <si>
    <t>uttaragoel@gmail.com</t>
  </si>
  <si>
    <t>Indhu Gnanaguru</t>
  </si>
  <si>
    <t>indhugnanaguru@gmail.com</t>
  </si>
  <si>
    <t>KANAKARAO SAMMANGI</t>
  </si>
  <si>
    <t>kanakarao.ps@gmail.com</t>
  </si>
  <si>
    <t>Sanya Bajaj</t>
  </si>
  <si>
    <t>sanyabajaj18oct@gmail.com</t>
  </si>
  <si>
    <t>Ruban Mahendran</t>
  </si>
  <si>
    <t>rubanmahendran13@gmail.com</t>
  </si>
  <si>
    <t>Pudukkottai Cantonment</t>
  </si>
  <si>
    <t>Mugdha Khade</t>
  </si>
  <si>
    <t>khademugdha15@gmail.com</t>
  </si>
  <si>
    <t>VijayaSaiSameera Yadlapati</t>
  </si>
  <si>
    <t>sameera.yadlapati@gmail.com</t>
  </si>
  <si>
    <t>Shaik Tajuddin</t>
  </si>
  <si>
    <t>shaik8june@gmail.com</t>
  </si>
  <si>
    <t>Arpita Shome</t>
  </si>
  <si>
    <t>Gurkirat Singh</t>
  </si>
  <si>
    <t>sgurkirat2016@gmail.com</t>
  </si>
  <si>
    <t>Varshini TV</t>
  </si>
  <si>
    <t>Geetanjali Singh</t>
  </si>
  <si>
    <t>geetanjalisingh359@gmail.com</t>
  </si>
  <si>
    <t>Kriti Chandel</t>
  </si>
  <si>
    <t>kritichandel2001@gmail.com</t>
  </si>
  <si>
    <t>Nandini Joshi</t>
  </si>
  <si>
    <t>nrj.nandini@gmail.com</t>
  </si>
  <si>
    <t>Varshini.tv10@gmail.com</t>
  </si>
  <si>
    <t>Aryan Chaudhary</t>
  </si>
  <si>
    <t>aryan27oct99@gmail.com</t>
  </si>
  <si>
    <t>MdGulam Hassnain</t>
  </si>
  <si>
    <t>gulam.hassnain05@gmail.com</t>
  </si>
  <si>
    <t>Nidhi Singh</t>
  </si>
  <si>
    <t>uccnidhisingh01@gmail.com</t>
  </si>
  <si>
    <t>Hosakote</t>
  </si>
  <si>
    <t>Yogesh Gajula</t>
  </si>
  <si>
    <t>yogeshgajula45@gmail.com</t>
  </si>
  <si>
    <t>Tanya Garg</t>
  </si>
  <si>
    <t>tanyagarg521@gmail.com</t>
  </si>
  <si>
    <t>Prachi Dwivedy</t>
  </si>
  <si>
    <t>pmonicadwivedy@gmail.com</t>
  </si>
  <si>
    <t>jambuvcet@gmail.com</t>
  </si>
  <si>
    <t>Bhuvaneswari Balraj</t>
  </si>
  <si>
    <t>bhuvanaharidra@gmail.com</t>
  </si>
  <si>
    <t>Hessen</t>
  </si>
  <si>
    <t>Frankfurt</t>
  </si>
  <si>
    <t>Avinash Shekharf</t>
  </si>
  <si>
    <t>avinashshekhar@kpmg.com</t>
  </si>
  <si>
    <t>Sachin Yadav</t>
  </si>
  <si>
    <t>sachin.yadav30@gmail.com</t>
  </si>
  <si>
    <t>Subhojeet Baidya</t>
  </si>
  <si>
    <t>subhojeetbaidya@gmail.com</t>
  </si>
  <si>
    <t>Priyanka Phanse</t>
  </si>
  <si>
    <t>priyankaphanse12@gmail.com</t>
  </si>
  <si>
    <t>Pooja Bahirwade</t>
  </si>
  <si>
    <t>meetpoojabahirwade3@gmail.com</t>
  </si>
  <si>
    <t>Ahmadnagar Cantonment</t>
  </si>
  <si>
    <t>Nikhil S</t>
  </si>
  <si>
    <t>gsnikhil47@gmail.com</t>
  </si>
  <si>
    <t>Rakesh Parmar</t>
  </si>
  <si>
    <t>parmarrakesh1917@gmail.com</t>
  </si>
  <si>
    <t>Rushabh Dholiya</t>
  </si>
  <si>
    <t>rushabh.b.dholia@gmail.com</t>
  </si>
  <si>
    <t>Dhanraj S</t>
  </si>
  <si>
    <t>dhanraj.jj@gmail.com</t>
  </si>
  <si>
    <t>Harshit Jain</t>
  </si>
  <si>
    <t>me.harshit98@gmail.com</t>
  </si>
  <si>
    <t>Sailakshman Morishetty</t>
  </si>
  <si>
    <t>morishettys@kpmg.com</t>
  </si>
  <si>
    <t>Banumathi M</t>
  </si>
  <si>
    <t>banumathi1201@gmail.com</t>
  </si>
  <si>
    <t>Chandni Chandni</t>
  </si>
  <si>
    <t>lodhirajputchandni@yahoo.in</t>
  </si>
  <si>
    <t>Harsrita Mishra</t>
  </si>
  <si>
    <t>harsritamishra@gmail.com</t>
  </si>
  <si>
    <t>Navi Mumbai</t>
  </si>
  <si>
    <t>Shweta Bharti</t>
  </si>
  <si>
    <t>bharti.shwet@gmail.com</t>
  </si>
  <si>
    <t>PraveenRaj R</t>
  </si>
  <si>
    <t>raj2024.praveen@gmail.com</t>
  </si>
  <si>
    <t>Akshat Jain</t>
  </si>
  <si>
    <t>akshatjain20@kpmg.com</t>
  </si>
  <si>
    <t>Venkata Gadde</t>
  </si>
  <si>
    <t>gvvramarao2527@gmail.com</t>
  </si>
  <si>
    <t>Astha Agarwal</t>
  </si>
  <si>
    <t>agarwalastha21@gmail.com</t>
  </si>
  <si>
    <t>Dhanbad</t>
  </si>
  <si>
    <t>Tanisha Gupta</t>
  </si>
  <si>
    <t>tanishaguptajpr@gmail.com</t>
  </si>
  <si>
    <t>Hemant Mudgal</t>
  </si>
  <si>
    <t>hemant.m0230@gmail.com</t>
  </si>
  <si>
    <t>Maitreyee Chauhan</t>
  </si>
  <si>
    <t>maitreyeechauhan01@gmail.com</t>
  </si>
  <si>
    <t>Monimala Bhattacharjee</t>
  </si>
  <si>
    <t>moniemalabh@gmail.com</t>
  </si>
  <si>
    <t>Ranchi</t>
  </si>
  <si>
    <t>Yashraj Verma</t>
  </si>
  <si>
    <t>yashverma6489vt2@gmail.com</t>
  </si>
  <si>
    <t>Deepshikha Mishra</t>
  </si>
  <si>
    <t>deepshikhap2099@gmail.com</t>
  </si>
  <si>
    <t>Naina Tyagi</t>
  </si>
  <si>
    <t>Nainat47@gmail.com</t>
  </si>
  <si>
    <t>Sonali Goel</t>
  </si>
  <si>
    <t>isonaligoel@kpmg.com</t>
  </si>
  <si>
    <t>Aman Vashishth</t>
  </si>
  <si>
    <t>aman.vashishth1995@gmail.com</t>
  </si>
  <si>
    <t>BhanuPratap Singh</t>
  </si>
  <si>
    <t>bhanuprataps1@kpmg.com</t>
  </si>
  <si>
    <t>RamGaneshKalyan Settybathini</t>
  </si>
  <si>
    <t>ramganesh388@gmail.com</t>
  </si>
  <si>
    <t>Aadityaharan Ganesh</t>
  </si>
  <si>
    <t>aadiharan99@gmail.com</t>
  </si>
  <si>
    <t>Pooja Sharma</t>
  </si>
  <si>
    <t>poojanoputra6237@gmail.com</t>
  </si>
  <si>
    <t>AMAN GUPTA</t>
  </si>
  <si>
    <t>guptaamank14@gmail.com</t>
  </si>
  <si>
    <t>Ramanuj Ganj</t>
  </si>
  <si>
    <t>Yakshi Kumar</t>
  </si>
  <si>
    <t>yakshikumar828@gmail.com</t>
  </si>
  <si>
    <t>Trisha TH</t>
  </si>
  <si>
    <t>catchtrisha11@gmail.com</t>
  </si>
  <si>
    <t>Sneha Garg</t>
  </si>
  <si>
    <t>snehayyarrr@gmail.com</t>
  </si>
  <si>
    <t>Shraddha Mohanty</t>
  </si>
  <si>
    <t>shraddhamohanty2006@gmail.com</t>
  </si>
  <si>
    <t>Seattle</t>
  </si>
  <si>
    <t>Ameya Thakur</t>
  </si>
  <si>
    <t>ameyathakurofficial@gmail.com</t>
  </si>
  <si>
    <t>Vatsla Phillips</t>
  </si>
  <si>
    <t>Vatsla.phillips@hp.com</t>
  </si>
  <si>
    <t>Lavanya R</t>
  </si>
  <si>
    <t>r.lavanya@hp.com</t>
  </si>
  <si>
    <t>Prapti Mitra</t>
  </si>
  <si>
    <t>praptim@hp.com</t>
  </si>
  <si>
    <t>Bhumika KP</t>
  </si>
  <si>
    <t>bhumika.k.p@hp.com</t>
  </si>
  <si>
    <t>Santosh Chabbi</t>
  </si>
  <si>
    <t>santosh.m.chabbi@hp.com</t>
  </si>
  <si>
    <t>Taiyaba Akhtar</t>
  </si>
  <si>
    <t>taiyaba.akhtar@hp.com</t>
  </si>
  <si>
    <t>Jose Ephraim</t>
  </si>
  <si>
    <t>jose.ephraim@hp.com</t>
  </si>
  <si>
    <t>Joseph Edward</t>
  </si>
  <si>
    <t>jedward002@gmail.com</t>
  </si>
  <si>
    <t>Anekal</t>
  </si>
  <si>
    <t>Subham Mohanty</t>
  </si>
  <si>
    <t>subham2886@gmail.com</t>
  </si>
  <si>
    <t>Internshaala</t>
  </si>
  <si>
    <t>Pranav TR</t>
  </si>
  <si>
    <t>pranavtr88288@gmail.com</t>
  </si>
  <si>
    <t>Malarmathi S</t>
  </si>
  <si>
    <t>malarmathi902@gmail.com</t>
  </si>
  <si>
    <t>Sivaganga</t>
  </si>
  <si>
    <t>Milind Joshi</t>
  </si>
  <si>
    <t>joshimilind2009@gmail.com</t>
  </si>
  <si>
    <t>Sumant Sumant</t>
  </si>
  <si>
    <t>sumant.sumant@hp.com</t>
  </si>
  <si>
    <t>S Sriraksha</t>
  </si>
  <si>
    <t>s.sriraksha@hp.com</t>
  </si>
  <si>
    <t>Varun Singh</t>
  </si>
  <si>
    <t>varun.k@parikshe.com</t>
  </si>
  <si>
    <t>Pariskhe</t>
  </si>
  <si>
    <t>Mr Himanshu</t>
  </si>
  <si>
    <t>himanshuchaudhary6488@gmail.com</t>
  </si>
  <si>
    <t>Rishabh Kumar</t>
  </si>
  <si>
    <t>rishabhprajapatin@gmail.com</t>
  </si>
  <si>
    <t>Adeep Hegde</t>
  </si>
  <si>
    <t>adeephegdekc@kpmg.com</t>
  </si>
  <si>
    <t>Saumya Nair</t>
  </si>
  <si>
    <t>s.nair2277@gmail.com</t>
  </si>
  <si>
    <t>Rohit Gupta</t>
  </si>
  <si>
    <t>rohitgupta2015.rg72@gmail.com</t>
  </si>
  <si>
    <t>SaiAnudeep Penneru</t>
  </si>
  <si>
    <t>saianudeep7777@gmail.com</t>
  </si>
  <si>
    <t>Mahima Achhpal</t>
  </si>
  <si>
    <t>mahimaachhpal@gmail.com</t>
  </si>
  <si>
    <t>Siddharth Ashok</t>
  </si>
  <si>
    <t>siddharth.patro@infosys.com</t>
  </si>
  <si>
    <t>Padmalaya Mandhata</t>
  </si>
  <si>
    <t>padmalaya_m@infosys.com</t>
  </si>
  <si>
    <t>Udayin Kishore</t>
  </si>
  <si>
    <t>udayin.kishore@infosys.com</t>
  </si>
  <si>
    <t>PRADEEP SONI</t>
  </si>
  <si>
    <t>pradeep.soni@infosys.com</t>
  </si>
  <si>
    <t>Shahdol</t>
  </si>
  <si>
    <t>Aman Anshuman</t>
  </si>
  <si>
    <t>aman.anshuman@infosys.com</t>
  </si>
  <si>
    <t>PRACHI SAHU</t>
  </si>
  <si>
    <t>Prachi_Sahu@infosys.com</t>
  </si>
  <si>
    <t>Deepti Patil</t>
  </si>
  <si>
    <t>deepti.patil01@infosys.com</t>
  </si>
  <si>
    <t>rashmiavadhani6@gmail.com</t>
  </si>
  <si>
    <t>Swagata Mishra</t>
  </si>
  <si>
    <t>swagata.mishra@infosys.com</t>
  </si>
  <si>
    <t>Saurabh Gupta</t>
  </si>
  <si>
    <t>saurabh321@gmail.com</t>
  </si>
  <si>
    <t>Shreya Hazra</t>
  </si>
  <si>
    <t>shreya.hazra@infosys.com</t>
  </si>
  <si>
    <t>Mohammad Khan</t>
  </si>
  <si>
    <t>speaktoafzal@gmail.com</t>
  </si>
  <si>
    <t>RITIKA SINDHIA</t>
  </si>
  <si>
    <t>sindhiaritika@gmail.com</t>
  </si>
  <si>
    <t>Palak Verma</t>
  </si>
  <si>
    <t>passionate12palak@gmail.com</t>
  </si>
  <si>
    <t>Nithish Gurrala</t>
  </si>
  <si>
    <t>nithishg7@gmail.com</t>
  </si>
  <si>
    <t>Latha Nagaraj</t>
  </si>
  <si>
    <t>tejaswini.tl106@gmail.com</t>
  </si>
  <si>
    <t>Ananya Rutuparna</t>
  </si>
  <si>
    <t>Ananya.Rutuparna@infosys.com</t>
  </si>
  <si>
    <t>Dhairya Asthana</t>
  </si>
  <si>
    <t>nanu.sharad@gmail.com</t>
  </si>
  <si>
    <t>Roni R</t>
  </si>
  <si>
    <t>roni@hp.com</t>
  </si>
  <si>
    <t>Banavar</t>
  </si>
  <si>
    <t>Vijay Rath</t>
  </si>
  <si>
    <t>vijaykumar_rath@infosys.com</t>
  </si>
  <si>
    <t>C Veeksha</t>
  </si>
  <si>
    <t>veekshac18@gmail.com</t>
  </si>
  <si>
    <t>Shivam Ganatra</t>
  </si>
  <si>
    <t>shivam.ganatra@gmail.com</t>
  </si>
  <si>
    <t>NagaNarayanavyas Pulavarthy</t>
  </si>
  <si>
    <t>vyaspnn@gmail.com</t>
  </si>
  <si>
    <t>Shruti Shilwant</t>
  </si>
  <si>
    <t>shrutitesolteacher@gmail.com</t>
  </si>
  <si>
    <t>Ramnagar</t>
  </si>
  <si>
    <t>Mousumi Biswal</t>
  </si>
  <si>
    <t>mousumibiswal000@gmail.com</t>
  </si>
  <si>
    <t>Bargarh</t>
  </si>
  <si>
    <t>Riya Kamra</t>
  </si>
  <si>
    <t>riyakamra2000@gmail.com</t>
  </si>
  <si>
    <t>Veena Thummala</t>
  </si>
  <si>
    <t>tveena2k@gmail.com</t>
  </si>
  <si>
    <t>Shruti Gupta</t>
  </si>
  <si>
    <t>shrutigupta41205@gmail.com</t>
  </si>
  <si>
    <t>Azamgarh</t>
  </si>
  <si>
    <t>Anjum Khan</t>
  </si>
  <si>
    <t>akhan@du.edu.om</t>
  </si>
  <si>
    <t>00968-77399718</t>
  </si>
  <si>
    <t>Dhufar</t>
  </si>
  <si>
    <t>Salalah</t>
  </si>
  <si>
    <t>Sandipani Parida</t>
  </si>
  <si>
    <t>sandipani.parida@infosys.com</t>
  </si>
  <si>
    <t>Vathsala Krishnamurthy</t>
  </si>
  <si>
    <t>vats.murthy@gmail.com</t>
  </si>
  <si>
    <t>BalaSreeRajaLasya Lanka</t>
  </si>
  <si>
    <t>lasyalbsr786@gmail.com</t>
  </si>
  <si>
    <t>Japneet Gulati</t>
  </si>
  <si>
    <t>japneetgulati48@gmail.com</t>
  </si>
  <si>
    <t>Poornima Tomar</t>
  </si>
  <si>
    <t>poornimasinghtomar2007@gmail.com</t>
  </si>
  <si>
    <t>Mohit Shetty</t>
  </si>
  <si>
    <t>shetty1517@gmail.com</t>
  </si>
  <si>
    <t>Yukta Malik</t>
  </si>
  <si>
    <t>PABAN PATAR</t>
  </si>
  <si>
    <t>paban.patar2005@gmail.com</t>
  </si>
  <si>
    <t>Bankura</t>
  </si>
  <si>
    <t>Anusha Pulagam</t>
  </si>
  <si>
    <t>anushapulagam11@gmail.com</t>
  </si>
  <si>
    <t>Pratikshya Sahani</t>
  </si>
  <si>
    <t>pratikshya.sahani@infosys.com</t>
  </si>
  <si>
    <t>Sumit Sing</t>
  </si>
  <si>
    <t>latasingh0023@gmail.com</t>
  </si>
  <si>
    <t>Ankleshwar</t>
  </si>
  <si>
    <t>Deepika Nainwal</t>
  </si>
  <si>
    <t>deepikamknainwal@gmail.com</t>
  </si>
  <si>
    <t>Dehradun</t>
  </si>
  <si>
    <t>Swetha Garlapally</t>
  </si>
  <si>
    <t>Harish B</t>
  </si>
  <si>
    <t>harishchowdary026@gmail.com</t>
  </si>
  <si>
    <t>Ambika Sharma</t>
  </si>
  <si>
    <t>ambikasharma657826@gmail.com</t>
  </si>
  <si>
    <t>Howrah</t>
  </si>
  <si>
    <t>Amit Ghante</t>
  </si>
  <si>
    <t>ghante.amit@gmail.com</t>
  </si>
  <si>
    <t>Mee Vyas</t>
  </si>
  <si>
    <t>meenakshivyasit@gmail.com</t>
  </si>
  <si>
    <t>Muskaan Agarwal</t>
  </si>
  <si>
    <t>muskaanagr22@gmail.com</t>
  </si>
  <si>
    <t>arpita222shome@gmail.com</t>
  </si>
  <si>
    <t>Anam Sheikh</t>
  </si>
  <si>
    <t>anamsheikh198@gmail.com</t>
  </si>
  <si>
    <t>Yavatmal</t>
  </si>
  <si>
    <t>Sandeep Rudrashetty</t>
  </si>
  <si>
    <t>rudrashettysandeep@gmail.com</t>
  </si>
  <si>
    <t>Swapnil Singh</t>
  </si>
  <si>
    <t>swapnilsingh1@kpmg.com</t>
  </si>
  <si>
    <t>Sonia Garg</t>
  </si>
  <si>
    <t>anshgrg11@gmail.com</t>
  </si>
  <si>
    <t>Sangrur</t>
  </si>
  <si>
    <t>Prarthana Galande</t>
  </si>
  <si>
    <t>jayagalande256@gmail.com</t>
  </si>
  <si>
    <t>Sanjana Sanjana</t>
  </si>
  <si>
    <t>Gayathri N</t>
  </si>
  <si>
    <t>ngayathrimaths8@gmail.com</t>
  </si>
  <si>
    <t>Dod Ballapur</t>
  </si>
  <si>
    <t>Neha Sharma</t>
  </si>
  <si>
    <t>generativemarketingminds@gmail.com</t>
  </si>
  <si>
    <t>Singapore</t>
  </si>
  <si>
    <t>Kishlesh Singh</t>
  </si>
  <si>
    <t>itssocialkks@gmail.com</t>
  </si>
  <si>
    <t>Aishwarya Singh</t>
  </si>
  <si>
    <t>aishwaryasinghhkunduu@gmail.com</t>
  </si>
  <si>
    <t>Sarala Adhavan</t>
  </si>
  <si>
    <t>saralaaravishankar@gmail.com</t>
  </si>
  <si>
    <t>Sadhanaa S</t>
  </si>
  <si>
    <t>sadhanaa2304@gmail.com</t>
  </si>
  <si>
    <t>Divya Mrunalini</t>
  </si>
  <si>
    <t>mrunalinisree@gmail.com</t>
  </si>
  <si>
    <t>Dev Bansal</t>
  </si>
  <si>
    <t>devbansal15052004@gmail.com</t>
  </si>
  <si>
    <t>Srijani Das</t>
  </si>
  <si>
    <t>srijanidas183@gmail.com</t>
  </si>
  <si>
    <t>Nikhil Mandhani</t>
  </si>
  <si>
    <t>mandhaninikhil011@gmail.com</t>
  </si>
  <si>
    <t>Dewas</t>
  </si>
  <si>
    <t>Sai Sathanapally</t>
  </si>
  <si>
    <t>ssathanapally@icloud.com</t>
  </si>
  <si>
    <t>Burlingame</t>
  </si>
  <si>
    <t>Sharanya Rana</t>
  </si>
  <si>
    <t>sharanyarana001298@gmail.com</t>
  </si>
  <si>
    <t>Khushboo Mishra</t>
  </si>
  <si>
    <t>khushboo2006mishra@gmail.com</t>
  </si>
  <si>
    <t>Kaavya Kashyap</t>
  </si>
  <si>
    <t>kaavya.kashyap@nalsar.ac.in</t>
  </si>
  <si>
    <t>Nishant Kumar</t>
  </si>
  <si>
    <t>nishantkumarpandey8712@gmail.com</t>
  </si>
  <si>
    <t>Gaya</t>
  </si>
  <si>
    <t>Swagata Mukherjee</t>
  </si>
  <si>
    <t>mukherjeeswagata092@gmail.com</t>
  </si>
  <si>
    <t>Durgapur</t>
  </si>
  <si>
    <t>Abhishek Jain</t>
  </si>
  <si>
    <t>aj2808363@gmail.com</t>
  </si>
  <si>
    <t>Babita Yadav</t>
  </si>
  <si>
    <t>paarthyadav1997@gmail.com</t>
  </si>
  <si>
    <t>Chhapra</t>
  </si>
  <si>
    <t>Mallika Devi</t>
  </si>
  <si>
    <t>mallikadevi21@gmail.com</t>
  </si>
  <si>
    <t>Riya Dhargalkar</t>
  </si>
  <si>
    <t>riyadhargalkar30@gmail.com</t>
  </si>
  <si>
    <t>Goa</t>
  </si>
  <si>
    <t>Colvale</t>
  </si>
  <si>
    <t>Malu Raveendran</t>
  </si>
  <si>
    <t>maluvinodmohan@gmail.com</t>
  </si>
  <si>
    <t>Yashkumar Rawal</t>
  </si>
  <si>
    <t>Yrawal191@gmail.com</t>
  </si>
  <si>
    <t>Scotland</t>
  </si>
  <si>
    <t>Livingston</t>
  </si>
  <si>
    <t>Rachna Khandelwal</t>
  </si>
  <si>
    <t>rachnarawat1004@gmail.com</t>
  </si>
  <si>
    <t>Prathitha Iyengar</t>
  </si>
  <si>
    <t>iyengarprathitha@gmail.com</t>
  </si>
  <si>
    <t>Rashi Yadav</t>
  </si>
  <si>
    <t>ry6082000@gmail.com</t>
  </si>
  <si>
    <t>Shashikant Singh</t>
  </si>
  <si>
    <t>shashikant.singh.ri226@gmail.com</t>
  </si>
  <si>
    <t>Churk Ghurma</t>
  </si>
  <si>
    <t>WhatsApp</t>
  </si>
  <si>
    <t>Imaad Hasan</t>
  </si>
  <si>
    <t>imaadhasan16@gmail.com</t>
  </si>
  <si>
    <t>Lonika Chopra</t>
  </si>
  <si>
    <t>lonikachopra@gmail.com</t>
  </si>
  <si>
    <t>Siddhant Mallela</t>
  </si>
  <si>
    <t>siddm98@gmail.com</t>
  </si>
  <si>
    <t>Aasthik Dharman</t>
  </si>
  <si>
    <t>aasthikdharman@gmail.com</t>
  </si>
  <si>
    <t>73388 78252</t>
  </si>
  <si>
    <t>Bhavya Batra</t>
  </si>
  <si>
    <t>bhavyabatra735@gmail.com</t>
  </si>
  <si>
    <t>SYED Kazmi</t>
  </si>
  <si>
    <t>kazmimushaqat@gmail.com</t>
  </si>
  <si>
    <t>Baramulla</t>
  </si>
  <si>
    <t>Vismaya Nair</t>
  </si>
  <si>
    <t>vismaya2001@gmail.com</t>
  </si>
  <si>
    <t>Neha Toshniwal</t>
  </si>
  <si>
    <t>toshneha@gmail.com</t>
  </si>
  <si>
    <t>Arpitha KS</t>
  </si>
  <si>
    <t>bhatksa@gmail.com</t>
  </si>
  <si>
    <t>Tapobrata Ghosh</t>
  </si>
  <si>
    <t>Burdwan</t>
  </si>
  <si>
    <t>Tufan Patra</t>
  </si>
  <si>
    <t>soumalyasmp@gmail.com</t>
  </si>
  <si>
    <t>Sumit Patnaik</t>
  </si>
  <si>
    <t>2kirti@gmail.com</t>
  </si>
  <si>
    <t>City of Dallas</t>
  </si>
  <si>
    <t>Venkataraman Thiagarajan</t>
  </si>
  <si>
    <t>tvenkat0215@yahoo.com</t>
  </si>
  <si>
    <t>South Brunswick</t>
  </si>
  <si>
    <t>Amanraj Singh</t>
  </si>
  <si>
    <t>amanraj.singh.12@gmail.com</t>
  </si>
  <si>
    <t>Ambika Sankarammal</t>
  </si>
  <si>
    <t>mrsambikaraj@gmail.com</t>
  </si>
  <si>
    <t>Sravanthi Mattapelly</t>
  </si>
  <si>
    <t>sravanthi02062022@gmail.com</t>
  </si>
  <si>
    <t>Harshita Saxena</t>
  </si>
  <si>
    <t>saxena00002@gmail.com</t>
  </si>
  <si>
    <t>HARSH SHRIVSTAVA</t>
  </si>
  <si>
    <t>light171019@gmail.com</t>
  </si>
  <si>
    <t>NIKETA KUMARI</t>
  </si>
  <si>
    <t>niketak38@gmail.com</t>
  </si>
  <si>
    <t>92795 54032</t>
  </si>
  <si>
    <t>disha4020@gmail.com</t>
  </si>
  <si>
    <t>Kokkonda Bhanu Vishweshwar</t>
  </si>
  <si>
    <t>bhanuvishweshwar@gmail.com</t>
  </si>
  <si>
    <t>Shivam Singh</t>
  </si>
  <si>
    <t>shivam22222003@gmail.com</t>
  </si>
  <si>
    <t>Anuj Mantri</t>
  </si>
  <si>
    <t>anujmantri123@gmail.com</t>
  </si>
  <si>
    <t>Eesha Eesha</t>
  </si>
  <si>
    <t>28eesha@gmail.com</t>
  </si>
  <si>
    <t>Anumita Ghosh</t>
  </si>
  <si>
    <t>findanumita@gmail.com</t>
  </si>
  <si>
    <t>Om Kasarkhedkar</t>
  </si>
  <si>
    <t>omkasarkhedkar@gmail.com</t>
  </si>
  <si>
    <t>Chinchwad</t>
  </si>
  <si>
    <t>Vaishnavi Tara</t>
  </si>
  <si>
    <t>vaishnavitara2611@gmail.com</t>
  </si>
  <si>
    <t>Shiva Yadav</t>
  </si>
  <si>
    <t>kotteshivayadav@gmail.com</t>
  </si>
  <si>
    <t>Nalgonda</t>
  </si>
  <si>
    <t>Aryan Kumar</t>
  </si>
  <si>
    <t>aryankumar120903@gmail.com</t>
  </si>
  <si>
    <t>Taanya Bellara</t>
  </si>
  <si>
    <t>taanyadb@gmail.com</t>
  </si>
  <si>
    <t>Kavita Sriram</t>
  </si>
  <si>
    <t>sriram.kavita@yahoo.com</t>
  </si>
  <si>
    <t>Aditi Nair</t>
  </si>
  <si>
    <t>aditi.nair2378@gmail.com</t>
  </si>
  <si>
    <t>DrAastha Khera</t>
  </si>
  <si>
    <t>aasthakhera12@gmail.com</t>
  </si>
  <si>
    <t>Kurukshetra</t>
  </si>
  <si>
    <t>Saikat Mondal</t>
  </si>
  <si>
    <t>saikat14112002@gmail.com</t>
  </si>
  <si>
    <t>Rajesh TS</t>
  </si>
  <si>
    <t>tsrajesh099@gmail.com</t>
  </si>
  <si>
    <t>Bhagwat Gayki</t>
  </si>
  <si>
    <t>bhagwat@skillonit.com</t>
  </si>
  <si>
    <t>SPAD Skillonit Learning Hub Pvt. Ltd.</t>
  </si>
  <si>
    <t>Jayesh Chauhan</t>
  </si>
  <si>
    <t>jayeshcareers25@gmail.com</t>
  </si>
  <si>
    <t>Swechchaa Singh</t>
  </si>
  <si>
    <t>swechchaasingh@gmail.com</t>
  </si>
  <si>
    <t>Pankaj Pankaj</t>
  </si>
  <si>
    <t>pankajselper27@gmail.com</t>
  </si>
  <si>
    <t>Shruthi R</t>
  </si>
  <si>
    <t>shruthi.r3021@gmail.com</t>
  </si>
  <si>
    <t>Guraiah Duggineni</t>
  </si>
  <si>
    <t>dugginenig@kpmg.com</t>
  </si>
  <si>
    <t>Proddatur</t>
  </si>
  <si>
    <t>Vaishnavi Sunkara</t>
  </si>
  <si>
    <t>vsunkara22@gmail.com</t>
  </si>
  <si>
    <t>McKinney</t>
  </si>
  <si>
    <t>Aditya Dixit</t>
  </si>
  <si>
    <t>adityapdixit6626@gmail.com</t>
  </si>
  <si>
    <t>Kshitija Tembhekar</t>
  </si>
  <si>
    <t>kshitija.tembhekar@discoverpilgrim.com</t>
  </si>
  <si>
    <t>Vaibhav Bhatt</t>
  </si>
  <si>
    <t>vbrocks6@gmail.com</t>
  </si>
  <si>
    <t>Preeti Lohar</t>
  </si>
  <si>
    <t>Preetilohar0212@gmail.com</t>
  </si>
  <si>
    <t>Akanksha Srivastava</t>
  </si>
  <si>
    <t>akankshasrivastava5976@gmail.com</t>
  </si>
  <si>
    <t>Hrishita Thakuria</t>
  </si>
  <si>
    <t>hrishitathakuria776@gmail.com</t>
  </si>
  <si>
    <t>Poonam RANE</t>
  </si>
  <si>
    <t>gourirane@gmail.com</t>
  </si>
  <si>
    <t>Kenya</t>
  </si>
  <si>
    <t>Nairobi</t>
  </si>
  <si>
    <t>Manisha Tuteja</t>
  </si>
  <si>
    <t>manisha.tuteja12@gmail.com</t>
  </si>
  <si>
    <t>Kavyashree K</t>
  </si>
  <si>
    <t>kavyashreek404@gmail.com</t>
  </si>
  <si>
    <t>Chitradurga</t>
  </si>
  <si>
    <t>Azra Shetranjiwala</t>
  </si>
  <si>
    <t>azrashetranjiwala@gmail.com</t>
  </si>
  <si>
    <t>Astha Kuamri</t>
  </si>
  <si>
    <t>ashuowl2006@gmail.com</t>
  </si>
  <si>
    <t>Muzaffarpur</t>
  </si>
  <si>
    <t>Vrinda Gaddam</t>
  </si>
  <si>
    <t>vrindagaddam26@gmail.com</t>
  </si>
  <si>
    <t>Vinita Raikwar</t>
  </si>
  <si>
    <t>Prakruthi S</t>
  </si>
  <si>
    <t>prakruthi7116@gmail.com</t>
  </si>
  <si>
    <t>Nagamangala</t>
  </si>
  <si>
    <t>Sneha Jain</t>
  </si>
  <si>
    <t>arohi01092023@gmail.com</t>
  </si>
  <si>
    <t>Ananthakumara Ks</t>
  </si>
  <si>
    <t>ananthakumaraks20@gmail.com</t>
  </si>
  <si>
    <t>Piriyapatna</t>
  </si>
  <si>
    <t>varunsi0071@gmail.com</t>
  </si>
  <si>
    <t>Harsh Rajput</t>
  </si>
  <si>
    <t>rajputkumarharsh74@gmail.com</t>
  </si>
  <si>
    <t>Vaibhav Singh</t>
  </si>
  <si>
    <t>ihtgoot@gmail.com</t>
  </si>
  <si>
    <t>Maria Siby</t>
  </si>
  <si>
    <t>mariasiby200623@gmail.com</t>
  </si>
  <si>
    <t>Kashish Parikh</t>
  </si>
  <si>
    <t>parikhkashish2495@gmail.com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</si>
</sst>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m/dd/yy"/>
  </numFmts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0" xfId="0" applyFont="1" applyNumberFormat="1"/>
    <xf borderId="0" fillId="0" fontId="1" numFmtId="0" xfId="0" applyAlignment="1" applyFont="1">
      <alignment horizontal="center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0.25"/>
    <col customWidth="1" min="20" max="20" width="20.63"/>
    <col customWidth="1" min="21" max="21" width="16.5"/>
    <col customWidth="1" min="22" max="22" width="20.25"/>
    <col customWidth="1" min="37" max="37" width="8.38"/>
    <col customWidth="1" min="38" max="38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 t="s">
        <v>38</v>
      </c>
      <c r="B2" s="3">
        <v>40368.0</v>
      </c>
      <c r="C2" s="3" t="s">
        <v>39</v>
      </c>
      <c r="D2" s="3" t="s">
        <v>40</v>
      </c>
      <c r="E2" s="1" t="s">
        <v>41</v>
      </c>
      <c r="F2" s="3">
        <v>79440.0</v>
      </c>
      <c r="G2" s="1" t="s">
        <v>42</v>
      </c>
      <c r="H2" s="4">
        <v>45662.522256944445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3" t="s">
        <v>50</v>
      </c>
      <c r="Q2" s="3" t="s">
        <v>51</v>
      </c>
      <c r="R2" s="3">
        <v>1948.0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3">
        <v>7.0</v>
      </c>
      <c r="AB2" s="1" t="s">
        <v>60</v>
      </c>
      <c r="AC2" s="3">
        <v>16.0</v>
      </c>
      <c r="AD2" s="3">
        <v>13.0</v>
      </c>
      <c r="AE2" s="5">
        <v>0.5897</v>
      </c>
      <c r="AF2" s="3">
        <v>23.0</v>
      </c>
      <c r="AG2" s="3">
        <v>3.0</v>
      </c>
      <c r="AH2" s="3">
        <v>0.0</v>
      </c>
      <c r="AI2" s="3">
        <v>3.0</v>
      </c>
      <c r="AJ2" s="3">
        <v>0.0</v>
      </c>
      <c r="AK2" s="3">
        <v>0.0</v>
      </c>
      <c r="AL2" s="3">
        <v>3.0</v>
      </c>
    </row>
    <row r="3">
      <c r="A3" s="1" t="s">
        <v>38</v>
      </c>
      <c r="B3" s="3">
        <v>40243.0</v>
      </c>
      <c r="C3" s="6">
        <v>46026.0</v>
      </c>
      <c r="D3" s="3" t="s">
        <v>40</v>
      </c>
      <c r="E3" s="1" t="s">
        <v>41</v>
      </c>
      <c r="F3" s="3">
        <v>88329.0</v>
      </c>
      <c r="G3" s="1" t="s">
        <v>61</v>
      </c>
      <c r="H3" s="4">
        <v>46048.76006944444</v>
      </c>
      <c r="I3" s="1" t="s">
        <v>43</v>
      </c>
      <c r="J3" s="1" t="s">
        <v>62</v>
      </c>
      <c r="K3" s="1" t="s">
        <v>63</v>
      </c>
      <c r="L3" s="1" t="s">
        <v>46</v>
      </c>
      <c r="M3" s="1" t="s">
        <v>64</v>
      </c>
      <c r="N3" s="1" t="s">
        <v>65</v>
      </c>
      <c r="O3" s="1" t="s">
        <v>66</v>
      </c>
      <c r="P3" s="3" t="s">
        <v>67</v>
      </c>
      <c r="Q3" s="3" t="s">
        <v>68</v>
      </c>
      <c r="R3" s="3">
        <v>1791.0</v>
      </c>
      <c r="S3" s="1" t="s">
        <v>69</v>
      </c>
      <c r="T3" s="1" t="s">
        <v>53</v>
      </c>
      <c r="U3" s="1" t="s">
        <v>70</v>
      </c>
      <c r="V3" s="1" t="s">
        <v>71</v>
      </c>
      <c r="W3" s="1" t="s">
        <v>56</v>
      </c>
      <c r="X3" s="1" t="s">
        <v>72</v>
      </c>
      <c r="Y3" s="1" t="s">
        <v>58</v>
      </c>
      <c r="Z3" s="1" t="s">
        <v>59</v>
      </c>
      <c r="AA3" s="3">
        <v>6.0</v>
      </c>
      <c r="AB3" s="1" t="s">
        <v>60</v>
      </c>
      <c r="AC3" s="3">
        <v>16.0</v>
      </c>
      <c r="AD3" s="3">
        <v>16.0</v>
      </c>
      <c r="AE3" s="5">
        <v>1.0</v>
      </c>
      <c r="AF3" s="3">
        <v>64.0</v>
      </c>
      <c r="AG3" s="3">
        <v>4.0</v>
      </c>
      <c r="AH3" s="3">
        <v>0.0</v>
      </c>
      <c r="AI3" s="3">
        <v>4.0</v>
      </c>
      <c r="AJ3" s="3">
        <v>0.0</v>
      </c>
      <c r="AK3" s="3">
        <v>0.0</v>
      </c>
      <c r="AL3" s="3">
        <v>4.0</v>
      </c>
    </row>
    <row r="4">
      <c r="A4" s="1" t="s">
        <v>38</v>
      </c>
      <c r="B4" s="3">
        <v>40282.0</v>
      </c>
      <c r="C4" s="6">
        <v>46026.0</v>
      </c>
      <c r="D4" s="3" t="s">
        <v>40</v>
      </c>
      <c r="E4" s="1" t="s">
        <v>41</v>
      </c>
      <c r="F4" s="3">
        <v>79688.0</v>
      </c>
      <c r="G4" s="1" t="s">
        <v>73</v>
      </c>
      <c r="H4" s="4">
        <v>45672.452199074076</v>
      </c>
      <c r="I4" s="1" t="s">
        <v>43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78</v>
      </c>
      <c r="O4" s="1" t="s">
        <v>79</v>
      </c>
      <c r="P4" s="3" t="s">
        <v>50</v>
      </c>
      <c r="Q4" s="3" t="s">
        <v>51</v>
      </c>
      <c r="R4" s="3">
        <v>1787.0</v>
      </c>
      <c r="S4" s="1" t="s">
        <v>80</v>
      </c>
      <c r="T4" s="1" t="s">
        <v>53</v>
      </c>
      <c r="U4" s="1" t="s">
        <v>81</v>
      </c>
      <c r="V4" s="1" t="s">
        <v>71</v>
      </c>
      <c r="W4" s="1" t="s">
        <v>56</v>
      </c>
      <c r="X4" s="1" t="s">
        <v>72</v>
      </c>
      <c r="Y4" s="1" t="s">
        <v>58</v>
      </c>
      <c r="Z4" s="1" t="s">
        <v>59</v>
      </c>
      <c r="AA4" s="3">
        <v>8.0</v>
      </c>
      <c r="AB4" s="1" t="s">
        <v>82</v>
      </c>
      <c r="AC4" s="3">
        <v>35.0</v>
      </c>
      <c r="AD4" s="3">
        <v>35.0</v>
      </c>
      <c r="AE4" s="5">
        <v>0.7238</v>
      </c>
      <c r="AF4" s="3">
        <v>76.0</v>
      </c>
      <c r="AG4" s="3">
        <v>3.0</v>
      </c>
      <c r="AH4" s="3">
        <v>0.0</v>
      </c>
      <c r="AI4" s="3">
        <v>3.0</v>
      </c>
      <c r="AJ4" s="3">
        <v>0.0</v>
      </c>
      <c r="AK4" s="3">
        <v>0.0</v>
      </c>
      <c r="AL4" s="3">
        <v>3.0</v>
      </c>
    </row>
    <row r="5">
      <c r="A5" s="1" t="s">
        <v>38</v>
      </c>
      <c r="B5" s="3">
        <v>40219.0</v>
      </c>
      <c r="C5" s="6">
        <v>46026.0</v>
      </c>
      <c r="D5" s="3" t="s">
        <v>83</v>
      </c>
      <c r="E5" s="1" t="s">
        <v>41</v>
      </c>
      <c r="F5" s="3">
        <v>89254.0</v>
      </c>
      <c r="G5" s="1" t="s">
        <v>84</v>
      </c>
      <c r="H5" s="4">
        <v>46108.810219907406</v>
      </c>
      <c r="I5" s="1" t="s">
        <v>43</v>
      </c>
      <c r="J5" s="1" t="s">
        <v>85</v>
      </c>
      <c r="K5" s="1" t="s">
        <v>63</v>
      </c>
      <c r="L5" s="1" t="s">
        <v>46</v>
      </c>
      <c r="M5" s="1" t="s">
        <v>47</v>
      </c>
      <c r="N5" s="1" t="s">
        <v>86</v>
      </c>
      <c r="O5" s="1" t="s">
        <v>87</v>
      </c>
      <c r="P5" s="6">
        <v>46177.0</v>
      </c>
      <c r="Q5" s="3" t="s">
        <v>88</v>
      </c>
      <c r="R5" s="3">
        <v>1984.0</v>
      </c>
      <c r="S5" s="1" t="s">
        <v>89</v>
      </c>
      <c r="T5" s="1" t="s">
        <v>90</v>
      </c>
      <c r="U5" s="1" t="s">
        <v>91</v>
      </c>
      <c r="V5" s="1" t="s">
        <v>92</v>
      </c>
      <c r="W5" s="1" t="s">
        <v>93</v>
      </c>
      <c r="X5" s="1" t="s">
        <v>57</v>
      </c>
      <c r="Y5" s="1" t="s">
        <v>58</v>
      </c>
      <c r="Z5" s="1" t="s">
        <v>59</v>
      </c>
      <c r="AA5" s="3">
        <v>7.0</v>
      </c>
      <c r="AB5" s="1" t="s">
        <v>94</v>
      </c>
      <c r="AC5" s="3">
        <v>13.0</v>
      </c>
      <c r="AD5" s="3">
        <v>13.0</v>
      </c>
      <c r="AE5" s="5">
        <v>0.9712</v>
      </c>
      <c r="AF5" s="3">
        <v>101.0</v>
      </c>
      <c r="AG5" s="3">
        <v>8.0</v>
      </c>
      <c r="AH5" s="3">
        <v>0.0</v>
      </c>
      <c r="AI5" s="3">
        <v>8.0</v>
      </c>
      <c r="AJ5" s="3">
        <v>0.0</v>
      </c>
      <c r="AK5" s="3">
        <v>0.0</v>
      </c>
      <c r="AL5" s="3">
        <v>8.0</v>
      </c>
    </row>
    <row r="6">
      <c r="A6" s="1" t="s">
        <v>38</v>
      </c>
      <c r="B6" s="3">
        <v>40366.0</v>
      </c>
      <c r="C6" s="3" t="s">
        <v>39</v>
      </c>
      <c r="D6" s="3" t="s">
        <v>95</v>
      </c>
      <c r="E6" s="1" t="s">
        <v>41</v>
      </c>
      <c r="F6" s="3">
        <v>87441.0</v>
      </c>
      <c r="G6" s="1" t="s">
        <v>96</v>
      </c>
      <c r="H6" s="4">
        <v>46002.319918981484</v>
      </c>
      <c r="J6" s="1" t="s">
        <v>97</v>
      </c>
      <c r="K6" s="1" t="s">
        <v>63</v>
      </c>
      <c r="L6" s="1" t="s">
        <v>46</v>
      </c>
      <c r="M6" s="1" t="s">
        <v>64</v>
      </c>
      <c r="N6" s="1" t="s">
        <v>98</v>
      </c>
      <c r="O6" s="1" t="s">
        <v>99</v>
      </c>
      <c r="P6" s="3" t="s">
        <v>100</v>
      </c>
      <c r="Q6" s="3" t="s">
        <v>88</v>
      </c>
      <c r="R6" s="3">
        <v>1950.0</v>
      </c>
      <c r="S6" s="1" t="s">
        <v>101</v>
      </c>
      <c r="T6" s="1" t="s">
        <v>53</v>
      </c>
      <c r="U6" s="1" t="s">
        <v>54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59</v>
      </c>
      <c r="AA6" s="3">
        <v>7.0</v>
      </c>
      <c r="AB6" s="1" t="s">
        <v>60</v>
      </c>
      <c r="AC6" s="3">
        <v>24.0</v>
      </c>
      <c r="AD6" s="3">
        <v>24.0</v>
      </c>
      <c r="AE6" s="5">
        <v>0.7708</v>
      </c>
      <c r="AF6" s="3">
        <v>37.0</v>
      </c>
      <c r="AG6" s="3">
        <v>2.0</v>
      </c>
      <c r="AH6" s="3">
        <v>0.0</v>
      </c>
      <c r="AI6" s="3">
        <v>2.0</v>
      </c>
      <c r="AJ6" s="3">
        <v>0.0</v>
      </c>
      <c r="AK6" s="3">
        <v>0.0</v>
      </c>
      <c r="AL6" s="3">
        <v>2.0</v>
      </c>
    </row>
    <row r="7">
      <c r="A7" s="1" t="s">
        <v>38</v>
      </c>
      <c r="B7" s="3">
        <v>40237.0</v>
      </c>
      <c r="C7" s="6">
        <v>46026.0</v>
      </c>
      <c r="D7" s="3" t="s">
        <v>40</v>
      </c>
      <c r="E7" s="1" t="s">
        <v>41</v>
      </c>
      <c r="F7" s="3">
        <v>87056.0</v>
      </c>
      <c r="G7" s="1" t="s">
        <v>102</v>
      </c>
      <c r="H7" s="4">
        <v>45986.951377314814</v>
      </c>
      <c r="I7" s="1" t="s">
        <v>43</v>
      </c>
      <c r="J7" s="1" t="s">
        <v>103</v>
      </c>
      <c r="K7" s="1" t="s">
        <v>104</v>
      </c>
      <c r="L7" s="1" t="s">
        <v>46</v>
      </c>
      <c r="M7" s="1" t="s">
        <v>105</v>
      </c>
      <c r="N7" s="1" t="s">
        <v>106</v>
      </c>
      <c r="O7" s="1" t="s">
        <v>107</v>
      </c>
      <c r="P7" s="3" t="s">
        <v>67</v>
      </c>
      <c r="Q7" s="3" t="s">
        <v>68</v>
      </c>
      <c r="R7" s="3">
        <v>1774.0</v>
      </c>
      <c r="S7" s="1" t="s">
        <v>108</v>
      </c>
      <c r="T7" s="1" t="s">
        <v>53</v>
      </c>
      <c r="U7" s="1" t="s">
        <v>81</v>
      </c>
      <c r="V7" s="1" t="s">
        <v>71</v>
      </c>
      <c r="W7" s="1" t="s">
        <v>56</v>
      </c>
      <c r="X7" s="1" t="s">
        <v>72</v>
      </c>
      <c r="Y7" s="1" t="s">
        <v>58</v>
      </c>
      <c r="Z7" s="1" t="s">
        <v>59</v>
      </c>
      <c r="AA7" s="3">
        <v>6.0</v>
      </c>
      <c r="AB7" s="1" t="s">
        <v>60</v>
      </c>
      <c r="AC7" s="3">
        <v>12.0</v>
      </c>
      <c r="AD7" s="3">
        <v>12.0</v>
      </c>
      <c r="AE7" s="5">
        <v>1.0</v>
      </c>
      <c r="AF7" s="3">
        <v>48.0</v>
      </c>
      <c r="AG7" s="3">
        <v>4.0</v>
      </c>
      <c r="AH7" s="3">
        <v>0.0</v>
      </c>
      <c r="AI7" s="3">
        <v>4.0</v>
      </c>
      <c r="AJ7" s="3">
        <v>0.0</v>
      </c>
      <c r="AK7" s="3">
        <v>0.0</v>
      </c>
      <c r="AL7" s="3">
        <v>4.0</v>
      </c>
    </row>
    <row r="8">
      <c r="A8" s="1" t="s">
        <v>38</v>
      </c>
      <c r="B8" s="3">
        <v>40377.0</v>
      </c>
      <c r="C8" s="3" t="s">
        <v>39</v>
      </c>
      <c r="D8" s="3" t="s">
        <v>40</v>
      </c>
      <c r="E8" s="1" t="s">
        <v>41</v>
      </c>
      <c r="F8" s="3">
        <v>73312.0</v>
      </c>
      <c r="G8" s="1" t="s">
        <v>109</v>
      </c>
      <c r="H8" s="4">
        <v>45465.37236111111</v>
      </c>
      <c r="J8" s="1" t="s">
        <v>110</v>
      </c>
      <c r="K8" s="1" t="s">
        <v>53</v>
      </c>
      <c r="L8" s="1" t="s">
        <v>46</v>
      </c>
      <c r="M8" s="1" t="s">
        <v>105</v>
      </c>
      <c r="N8" s="1" t="s">
        <v>111</v>
      </c>
      <c r="O8" s="1" t="s">
        <v>112</v>
      </c>
      <c r="P8" s="3" t="s">
        <v>113</v>
      </c>
      <c r="Q8" s="3" t="s">
        <v>51</v>
      </c>
      <c r="R8" s="3">
        <v>1946.0</v>
      </c>
      <c r="S8" s="1" t="s">
        <v>114</v>
      </c>
      <c r="T8" s="1" t="s">
        <v>53</v>
      </c>
      <c r="U8" s="1" t="s">
        <v>115</v>
      </c>
      <c r="V8" s="1" t="s">
        <v>55</v>
      </c>
      <c r="W8" s="1" t="s">
        <v>56</v>
      </c>
      <c r="X8" s="1" t="s">
        <v>57</v>
      </c>
      <c r="Y8" s="1" t="s">
        <v>58</v>
      </c>
      <c r="Z8" s="1" t="s">
        <v>59</v>
      </c>
      <c r="AA8" s="3">
        <v>8.0</v>
      </c>
      <c r="AB8" s="1" t="s">
        <v>60</v>
      </c>
      <c r="AC8" s="3">
        <v>33.0</v>
      </c>
      <c r="AD8" s="3">
        <v>33.0</v>
      </c>
      <c r="AE8" s="5">
        <v>0.8712</v>
      </c>
      <c r="AF8" s="3">
        <v>142.0</v>
      </c>
      <c r="AG8" s="3">
        <v>5.0</v>
      </c>
      <c r="AH8" s="3">
        <v>0.0</v>
      </c>
      <c r="AI8" s="3">
        <v>5.0</v>
      </c>
      <c r="AJ8" s="3">
        <v>0.0</v>
      </c>
      <c r="AK8" s="3">
        <v>0.0</v>
      </c>
      <c r="AL8" s="3">
        <v>5.0</v>
      </c>
    </row>
    <row r="9">
      <c r="A9" s="1" t="s">
        <v>38</v>
      </c>
      <c r="B9" s="3">
        <v>40294.0</v>
      </c>
      <c r="C9" s="6">
        <v>46026.0</v>
      </c>
      <c r="D9" s="3" t="s">
        <v>40</v>
      </c>
      <c r="E9" s="1" t="s">
        <v>41</v>
      </c>
      <c r="F9" s="3">
        <v>82162.0</v>
      </c>
      <c r="G9" s="1" t="s">
        <v>116</v>
      </c>
      <c r="H9" s="4">
        <v>45830.544652777775</v>
      </c>
      <c r="I9" s="1" t="s">
        <v>43</v>
      </c>
      <c r="J9" s="1" t="s">
        <v>117</v>
      </c>
      <c r="K9" s="1" t="s">
        <v>118</v>
      </c>
      <c r="L9" s="1" t="s">
        <v>46</v>
      </c>
      <c r="M9" s="1" t="s">
        <v>64</v>
      </c>
      <c r="N9" s="1" t="s">
        <v>119</v>
      </c>
      <c r="O9" s="1" t="s">
        <v>120</v>
      </c>
      <c r="P9" s="3" t="s">
        <v>51</v>
      </c>
      <c r="Q9" s="3" t="s">
        <v>51</v>
      </c>
      <c r="R9" s="3">
        <v>1777.0</v>
      </c>
      <c r="S9" s="1" t="s">
        <v>121</v>
      </c>
      <c r="T9" s="1" t="s">
        <v>53</v>
      </c>
      <c r="U9" s="1" t="s">
        <v>81</v>
      </c>
      <c r="V9" s="1" t="s">
        <v>71</v>
      </c>
      <c r="W9" s="1" t="s">
        <v>56</v>
      </c>
      <c r="X9" s="1" t="s">
        <v>72</v>
      </c>
      <c r="Y9" s="1" t="s">
        <v>58</v>
      </c>
      <c r="Z9" s="1" t="s">
        <v>59</v>
      </c>
      <c r="AA9" s="3">
        <v>8.0</v>
      </c>
      <c r="AB9" s="1" t="s">
        <v>82</v>
      </c>
      <c r="AC9" s="3">
        <v>35.0</v>
      </c>
      <c r="AD9" s="3">
        <v>35.0</v>
      </c>
      <c r="AE9" s="5">
        <v>1.0</v>
      </c>
      <c r="AF9" s="3">
        <v>35.0</v>
      </c>
      <c r="AG9" s="3">
        <v>1.0</v>
      </c>
      <c r="AH9" s="3">
        <v>0.0</v>
      </c>
      <c r="AI9" s="3">
        <v>1.0</v>
      </c>
      <c r="AJ9" s="3">
        <v>0.0</v>
      </c>
      <c r="AK9" s="3">
        <v>0.0</v>
      </c>
      <c r="AL9" s="3">
        <v>1.0</v>
      </c>
    </row>
    <row r="10">
      <c r="A10" s="1" t="s">
        <v>38</v>
      </c>
      <c r="B10" s="3">
        <v>40312.0</v>
      </c>
      <c r="C10" s="6">
        <v>46299.0</v>
      </c>
      <c r="D10" s="3" t="s">
        <v>95</v>
      </c>
      <c r="E10" s="1" t="s">
        <v>41</v>
      </c>
      <c r="F10" s="3">
        <v>82508.0</v>
      </c>
      <c r="G10" s="1" t="s">
        <v>122</v>
      </c>
      <c r="H10" s="4">
        <v>45837.54366898148</v>
      </c>
      <c r="I10" s="1" t="s">
        <v>43</v>
      </c>
      <c r="J10" s="1" t="s">
        <v>123</v>
      </c>
      <c r="K10" s="1" t="s">
        <v>124</v>
      </c>
      <c r="L10" s="1" t="s">
        <v>46</v>
      </c>
      <c r="M10" s="1" t="s">
        <v>77</v>
      </c>
      <c r="N10" s="1" t="s">
        <v>125</v>
      </c>
      <c r="O10" s="1" t="s">
        <v>126</v>
      </c>
      <c r="P10" s="3" t="s">
        <v>127</v>
      </c>
      <c r="Q10" s="3" t="s">
        <v>128</v>
      </c>
      <c r="R10" s="3">
        <v>1986.0</v>
      </c>
      <c r="S10" s="1" t="s">
        <v>129</v>
      </c>
      <c r="T10" s="1" t="s">
        <v>53</v>
      </c>
      <c r="U10" s="1" t="s">
        <v>81</v>
      </c>
      <c r="V10" s="1" t="s">
        <v>130</v>
      </c>
      <c r="W10" s="1" t="s">
        <v>56</v>
      </c>
      <c r="X10" s="1" t="s">
        <v>57</v>
      </c>
      <c r="Y10" s="1" t="s">
        <v>58</v>
      </c>
      <c r="Z10" s="1" t="s">
        <v>59</v>
      </c>
      <c r="AA10" s="3">
        <v>7.0</v>
      </c>
      <c r="AB10" s="1" t="s">
        <v>131</v>
      </c>
      <c r="AC10" s="3">
        <v>45.0</v>
      </c>
      <c r="AD10" s="3">
        <v>45.0</v>
      </c>
      <c r="AE10" s="5">
        <v>0.8102</v>
      </c>
      <c r="AF10" s="3">
        <v>111.0</v>
      </c>
      <c r="AG10" s="3">
        <v>3.0</v>
      </c>
      <c r="AH10" s="3">
        <v>0.0</v>
      </c>
      <c r="AI10" s="3">
        <v>3.0</v>
      </c>
      <c r="AJ10" s="3">
        <v>0.0</v>
      </c>
      <c r="AK10" s="3">
        <v>0.0</v>
      </c>
      <c r="AL10" s="3">
        <v>3.0</v>
      </c>
    </row>
    <row r="11">
      <c r="A11" s="1" t="s">
        <v>38</v>
      </c>
      <c r="B11" s="3">
        <v>40301.0</v>
      </c>
      <c r="C11" s="6">
        <v>46026.0</v>
      </c>
      <c r="D11" s="3" t="s">
        <v>40</v>
      </c>
      <c r="E11" s="1" t="s">
        <v>41</v>
      </c>
      <c r="F11" s="3">
        <v>89769.0</v>
      </c>
      <c r="G11" s="1" t="s">
        <v>132</v>
      </c>
      <c r="H11" s="4">
        <v>46134.5359837963</v>
      </c>
      <c r="I11" s="1" t="s">
        <v>133</v>
      </c>
      <c r="J11" s="1" t="s">
        <v>85</v>
      </c>
      <c r="K11" s="1" t="s">
        <v>63</v>
      </c>
      <c r="L11" s="1" t="s">
        <v>46</v>
      </c>
      <c r="M11" s="1" t="s">
        <v>47</v>
      </c>
      <c r="N11" s="1" t="s">
        <v>134</v>
      </c>
      <c r="O11" s="1" t="s">
        <v>135</v>
      </c>
      <c r="P11" s="3" t="s">
        <v>88</v>
      </c>
      <c r="Q11" s="3" t="s">
        <v>88</v>
      </c>
      <c r="R11" s="3">
        <v>1778.0</v>
      </c>
      <c r="S11" s="1" t="s">
        <v>136</v>
      </c>
      <c r="T11" s="1" t="s">
        <v>53</v>
      </c>
      <c r="U11" s="1" t="s">
        <v>70</v>
      </c>
      <c r="V11" s="1" t="s">
        <v>71</v>
      </c>
      <c r="W11" s="1" t="s">
        <v>56</v>
      </c>
      <c r="X11" s="1" t="s">
        <v>72</v>
      </c>
      <c r="Y11" s="1" t="s">
        <v>58</v>
      </c>
      <c r="Z11" s="1" t="s">
        <v>59</v>
      </c>
      <c r="AA11" s="3">
        <v>6.0</v>
      </c>
      <c r="AB11" s="1" t="s">
        <v>60</v>
      </c>
      <c r="AC11" s="3">
        <v>12.0</v>
      </c>
      <c r="AD11" s="3">
        <v>12.0</v>
      </c>
      <c r="AE11" s="5">
        <v>0.8333</v>
      </c>
      <c r="AF11" s="3">
        <v>10.0</v>
      </c>
      <c r="AG11" s="3">
        <v>1.0</v>
      </c>
      <c r="AH11" s="3">
        <v>0.0</v>
      </c>
      <c r="AI11" s="3">
        <v>1.0</v>
      </c>
      <c r="AJ11" s="3">
        <v>0.0</v>
      </c>
      <c r="AK11" s="3">
        <v>0.0</v>
      </c>
      <c r="AL11" s="3">
        <v>1.0</v>
      </c>
    </row>
    <row r="12">
      <c r="A12" s="1" t="s">
        <v>38</v>
      </c>
      <c r="B12" s="3">
        <v>40216.0</v>
      </c>
      <c r="C12" s="6">
        <v>46026.0</v>
      </c>
      <c r="D12" s="3" t="s">
        <v>83</v>
      </c>
      <c r="E12" s="1" t="s">
        <v>137</v>
      </c>
      <c r="F12" s="3">
        <v>73451.0</v>
      </c>
      <c r="G12" s="1" t="s">
        <v>138</v>
      </c>
      <c r="H12" s="4">
        <v>45470.495671296296</v>
      </c>
      <c r="J12" s="1" t="s">
        <v>139</v>
      </c>
      <c r="K12" s="1" t="s">
        <v>140</v>
      </c>
      <c r="L12" s="1" t="s">
        <v>46</v>
      </c>
      <c r="M12" s="1" t="s">
        <v>141</v>
      </c>
      <c r="N12" s="1" t="s">
        <v>142</v>
      </c>
      <c r="O12" s="1" t="s">
        <v>143</v>
      </c>
      <c r="P12" s="6">
        <v>46238.0</v>
      </c>
      <c r="Q12" s="3" t="s">
        <v>68</v>
      </c>
      <c r="R12" s="3">
        <v>1984.0</v>
      </c>
      <c r="S12" s="1" t="s">
        <v>89</v>
      </c>
      <c r="T12" s="1" t="s">
        <v>90</v>
      </c>
      <c r="U12" s="1" t="s">
        <v>91</v>
      </c>
      <c r="V12" s="1" t="s">
        <v>92</v>
      </c>
      <c r="W12" s="1" t="s">
        <v>93</v>
      </c>
      <c r="X12" s="1" t="s">
        <v>57</v>
      </c>
      <c r="Y12" s="1" t="s">
        <v>58</v>
      </c>
      <c r="Z12" s="1" t="s">
        <v>59</v>
      </c>
      <c r="AA12" s="3">
        <v>6.0</v>
      </c>
      <c r="AB12" s="1" t="s">
        <v>144</v>
      </c>
      <c r="AC12" s="3">
        <v>13.0</v>
      </c>
      <c r="AD12" s="3">
        <v>13.0</v>
      </c>
      <c r="AE12" s="5">
        <v>0.0</v>
      </c>
      <c r="AF12" s="3">
        <v>0.0</v>
      </c>
      <c r="AG12" s="3">
        <v>6.0</v>
      </c>
      <c r="AH12" s="3">
        <v>0.0</v>
      </c>
      <c r="AI12" s="3">
        <v>0.0</v>
      </c>
      <c r="AJ12" s="3">
        <v>0.0</v>
      </c>
      <c r="AK12" s="3">
        <v>6.0</v>
      </c>
      <c r="AL12" s="3">
        <v>0.0</v>
      </c>
    </row>
    <row r="13">
      <c r="A13" s="1" t="s">
        <v>38</v>
      </c>
      <c r="B13" s="3">
        <v>40400.0</v>
      </c>
      <c r="C13" s="3" t="s">
        <v>145</v>
      </c>
      <c r="D13" s="3" t="s">
        <v>146</v>
      </c>
      <c r="E13" s="1" t="s">
        <v>41</v>
      </c>
      <c r="F13" s="3">
        <v>73451.0</v>
      </c>
      <c r="G13" s="1" t="s">
        <v>138</v>
      </c>
      <c r="H13" s="4">
        <v>45470.495671296296</v>
      </c>
      <c r="J13" s="1" t="s">
        <v>139</v>
      </c>
      <c r="K13" s="1" t="s">
        <v>140</v>
      </c>
      <c r="L13" s="1" t="s">
        <v>46</v>
      </c>
      <c r="M13" s="1" t="s">
        <v>141</v>
      </c>
      <c r="N13" s="1" t="s">
        <v>142</v>
      </c>
      <c r="O13" s="1" t="s">
        <v>143</v>
      </c>
      <c r="P13" s="3" t="s">
        <v>113</v>
      </c>
      <c r="Q13" s="3" t="s">
        <v>51</v>
      </c>
      <c r="R13" s="3">
        <v>1274.0</v>
      </c>
      <c r="S13" s="1" t="s">
        <v>147</v>
      </c>
      <c r="T13" s="1" t="s">
        <v>148</v>
      </c>
      <c r="U13" s="1" t="s">
        <v>149</v>
      </c>
      <c r="V13" s="1" t="s">
        <v>55</v>
      </c>
      <c r="W13" s="1" t="s">
        <v>56</v>
      </c>
      <c r="X13" s="1" t="s">
        <v>57</v>
      </c>
      <c r="Y13" s="1" t="s">
        <v>58</v>
      </c>
      <c r="Z13" s="1" t="s">
        <v>59</v>
      </c>
      <c r="AA13" s="3">
        <v>8.0</v>
      </c>
      <c r="AB13" s="1" t="s">
        <v>60</v>
      </c>
      <c r="AC13" s="3">
        <v>32.0</v>
      </c>
      <c r="AD13" s="3">
        <v>31.0</v>
      </c>
      <c r="AE13" s="5">
        <v>0.1935</v>
      </c>
      <c r="AF13" s="3">
        <v>24.0</v>
      </c>
      <c r="AG13" s="3">
        <v>5.0</v>
      </c>
      <c r="AH13" s="3">
        <v>0.0</v>
      </c>
      <c r="AI13" s="3">
        <v>3.0</v>
      </c>
      <c r="AJ13" s="3">
        <v>1.0</v>
      </c>
      <c r="AK13" s="3">
        <v>1.0</v>
      </c>
      <c r="AL13" s="3">
        <v>4.0</v>
      </c>
    </row>
    <row r="14">
      <c r="A14" s="1" t="s">
        <v>38</v>
      </c>
      <c r="B14" s="3">
        <v>40421.0</v>
      </c>
      <c r="C14" s="3" t="s">
        <v>145</v>
      </c>
      <c r="D14" s="3" t="s">
        <v>146</v>
      </c>
      <c r="E14" s="1" t="s">
        <v>41</v>
      </c>
      <c r="F14" s="3">
        <v>89631.0</v>
      </c>
      <c r="G14" s="1" t="s">
        <v>150</v>
      </c>
      <c r="H14" s="4">
        <v>46129.94668981482</v>
      </c>
      <c r="I14" s="1" t="s">
        <v>43</v>
      </c>
      <c r="J14" s="1" t="s">
        <v>151</v>
      </c>
      <c r="K14" s="1" t="s">
        <v>152</v>
      </c>
      <c r="L14" s="1" t="s">
        <v>46</v>
      </c>
      <c r="M14" s="1" t="s">
        <v>47</v>
      </c>
      <c r="N14" s="1" t="s">
        <v>153</v>
      </c>
      <c r="O14" s="1" t="s">
        <v>154</v>
      </c>
      <c r="P14" s="3" t="s">
        <v>155</v>
      </c>
      <c r="Q14" s="3" t="s">
        <v>88</v>
      </c>
      <c r="R14" s="3">
        <v>120.0</v>
      </c>
      <c r="S14" s="1" t="s">
        <v>156</v>
      </c>
      <c r="T14" s="1" t="s">
        <v>148</v>
      </c>
      <c r="U14" s="1" t="s">
        <v>157</v>
      </c>
      <c r="V14" s="1" t="s">
        <v>55</v>
      </c>
      <c r="W14" s="1" t="s">
        <v>56</v>
      </c>
      <c r="X14" s="1" t="s">
        <v>57</v>
      </c>
      <c r="Y14" s="1" t="s">
        <v>58</v>
      </c>
      <c r="Z14" s="1" t="s">
        <v>59</v>
      </c>
      <c r="AA14" s="3">
        <v>7.0</v>
      </c>
      <c r="AB14" s="1" t="s">
        <v>60</v>
      </c>
      <c r="AC14" s="3">
        <v>35.0</v>
      </c>
      <c r="AD14" s="3">
        <v>35.0</v>
      </c>
      <c r="AE14" s="5">
        <v>1.0</v>
      </c>
      <c r="AF14" s="3">
        <v>105.0</v>
      </c>
      <c r="AG14" s="3">
        <v>3.0</v>
      </c>
      <c r="AH14" s="3">
        <v>0.0</v>
      </c>
      <c r="AI14" s="3">
        <v>3.0</v>
      </c>
      <c r="AJ14" s="3">
        <v>0.0</v>
      </c>
      <c r="AK14" s="3">
        <v>0.0</v>
      </c>
      <c r="AL14" s="3">
        <v>3.0</v>
      </c>
    </row>
    <row r="15">
      <c r="A15" s="1" t="s">
        <v>38</v>
      </c>
      <c r="B15" s="3">
        <v>40423.0</v>
      </c>
      <c r="C15" s="3" t="s">
        <v>145</v>
      </c>
      <c r="D15" s="3" t="s">
        <v>146</v>
      </c>
      <c r="E15" s="1" t="s">
        <v>41</v>
      </c>
      <c r="F15" s="3">
        <v>89631.0</v>
      </c>
      <c r="G15" s="1" t="s">
        <v>150</v>
      </c>
      <c r="H15" s="4">
        <v>46129.94668981482</v>
      </c>
      <c r="I15" s="1" t="s">
        <v>43</v>
      </c>
      <c r="J15" s="1" t="s">
        <v>151</v>
      </c>
      <c r="K15" s="1" t="s">
        <v>152</v>
      </c>
      <c r="L15" s="1" t="s">
        <v>46</v>
      </c>
      <c r="M15" s="1" t="s">
        <v>47</v>
      </c>
      <c r="N15" s="1" t="s">
        <v>153</v>
      </c>
      <c r="O15" s="1" t="s">
        <v>154</v>
      </c>
      <c r="P15" s="3" t="s">
        <v>155</v>
      </c>
      <c r="Q15" s="3" t="s">
        <v>88</v>
      </c>
      <c r="R15" s="3">
        <v>121.0</v>
      </c>
      <c r="S15" s="1" t="s">
        <v>158</v>
      </c>
      <c r="T15" s="1" t="s">
        <v>148</v>
      </c>
      <c r="U15" s="1" t="s">
        <v>157</v>
      </c>
      <c r="V15" s="1" t="s">
        <v>55</v>
      </c>
      <c r="W15" s="1" t="s">
        <v>56</v>
      </c>
      <c r="X15" s="1" t="s">
        <v>57</v>
      </c>
      <c r="Y15" s="1" t="s">
        <v>58</v>
      </c>
      <c r="Z15" s="1" t="s">
        <v>59</v>
      </c>
      <c r="AA15" s="3">
        <v>7.0</v>
      </c>
      <c r="AB15" s="1" t="s">
        <v>60</v>
      </c>
      <c r="AC15" s="3">
        <v>40.0</v>
      </c>
      <c r="AD15" s="3">
        <v>40.0</v>
      </c>
      <c r="AE15" s="5">
        <v>1.0</v>
      </c>
      <c r="AF15" s="3">
        <v>120.0</v>
      </c>
      <c r="AG15" s="3">
        <v>3.0</v>
      </c>
      <c r="AH15" s="3">
        <v>0.0</v>
      </c>
      <c r="AI15" s="3">
        <v>3.0</v>
      </c>
      <c r="AJ15" s="3">
        <v>0.0</v>
      </c>
      <c r="AK15" s="3">
        <v>0.0</v>
      </c>
      <c r="AL15" s="3">
        <v>3.0</v>
      </c>
    </row>
    <row r="16">
      <c r="A16" s="1" t="s">
        <v>38</v>
      </c>
      <c r="B16" s="3">
        <v>40403.0</v>
      </c>
      <c r="C16" s="3" t="s">
        <v>145</v>
      </c>
      <c r="D16" s="3" t="s">
        <v>146</v>
      </c>
      <c r="E16" s="1" t="s">
        <v>41</v>
      </c>
      <c r="F16" s="3">
        <v>82505.0</v>
      </c>
      <c r="G16" s="1" t="s">
        <v>159</v>
      </c>
      <c r="H16" s="4">
        <v>45837.53491898148</v>
      </c>
      <c r="I16" s="1" t="s">
        <v>43</v>
      </c>
      <c r="J16" s="1" t="s">
        <v>160</v>
      </c>
      <c r="K16" s="1" t="s">
        <v>124</v>
      </c>
      <c r="L16" s="1" t="s">
        <v>46</v>
      </c>
      <c r="M16" s="1" t="s">
        <v>64</v>
      </c>
      <c r="N16" s="1" t="s">
        <v>161</v>
      </c>
      <c r="O16" s="1" t="s">
        <v>162</v>
      </c>
      <c r="P16" s="3" t="s">
        <v>113</v>
      </c>
      <c r="Q16" s="3" t="s">
        <v>51</v>
      </c>
      <c r="R16" s="3">
        <v>113.0</v>
      </c>
      <c r="S16" s="1" t="s">
        <v>163</v>
      </c>
      <c r="T16" s="1" t="s">
        <v>148</v>
      </c>
      <c r="U16" s="1" t="s">
        <v>157</v>
      </c>
      <c r="V16" s="1" t="s">
        <v>55</v>
      </c>
      <c r="W16" s="1" t="s">
        <v>56</v>
      </c>
      <c r="X16" s="1" t="s">
        <v>57</v>
      </c>
      <c r="Y16" s="1" t="s">
        <v>58</v>
      </c>
      <c r="Z16" s="1" t="s">
        <v>59</v>
      </c>
      <c r="AA16" s="3">
        <v>8.0</v>
      </c>
      <c r="AB16" s="1" t="s">
        <v>60</v>
      </c>
      <c r="AC16" s="3">
        <v>39.0</v>
      </c>
      <c r="AD16" s="3">
        <v>39.0</v>
      </c>
      <c r="AE16" s="5">
        <v>1.0</v>
      </c>
      <c r="AF16" s="3">
        <v>156.0</v>
      </c>
      <c r="AG16" s="3">
        <v>5.0</v>
      </c>
      <c r="AH16" s="3">
        <v>0.0</v>
      </c>
      <c r="AI16" s="3">
        <v>4.0</v>
      </c>
      <c r="AJ16" s="3">
        <v>0.0</v>
      </c>
      <c r="AK16" s="3">
        <v>1.0</v>
      </c>
      <c r="AL16" s="3">
        <v>4.0</v>
      </c>
    </row>
    <row r="17">
      <c r="A17" s="1" t="s">
        <v>38</v>
      </c>
      <c r="B17" s="3">
        <v>40309.0</v>
      </c>
      <c r="C17" s="6">
        <v>46299.0</v>
      </c>
      <c r="D17" s="3" t="s">
        <v>95</v>
      </c>
      <c r="E17" s="1" t="s">
        <v>41</v>
      </c>
      <c r="F17" s="3">
        <v>89683.0</v>
      </c>
      <c r="G17" s="1" t="s">
        <v>164</v>
      </c>
      <c r="H17" s="4">
        <v>46132.73233796296</v>
      </c>
      <c r="I17" s="1" t="s">
        <v>43</v>
      </c>
      <c r="J17" s="1" t="s">
        <v>151</v>
      </c>
      <c r="K17" s="1" t="s">
        <v>152</v>
      </c>
      <c r="L17" s="1" t="s">
        <v>46</v>
      </c>
      <c r="M17" s="1" t="s">
        <v>64</v>
      </c>
      <c r="N17" s="1" t="s">
        <v>165</v>
      </c>
      <c r="O17" s="1" t="s">
        <v>166</v>
      </c>
      <c r="P17" s="3" t="s">
        <v>128</v>
      </c>
      <c r="Q17" s="3" t="s">
        <v>128</v>
      </c>
      <c r="R17" s="3">
        <v>1986.0</v>
      </c>
      <c r="S17" s="1" t="s">
        <v>129</v>
      </c>
      <c r="T17" s="1" t="s">
        <v>53</v>
      </c>
      <c r="U17" s="1" t="s">
        <v>81</v>
      </c>
      <c r="V17" s="1" t="s">
        <v>130</v>
      </c>
      <c r="W17" s="1" t="s">
        <v>56</v>
      </c>
      <c r="X17" s="1" t="s">
        <v>57</v>
      </c>
      <c r="Y17" s="1" t="s">
        <v>58</v>
      </c>
      <c r="Z17" s="1" t="s">
        <v>59</v>
      </c>
      <c r="AA17" s="3">
        <v>8.0</v>
      </c>
      <c r="AB17" s="1" t="s">
        <v>167</v>
      </c>
      <c r="AC17" s="3">
        <v>34.0</v>
      </c>
      <c r="AD17" s="3">
        <v>34.0</v>
      </c>
      <c r="AE17" s="5">
        <v>0.8529</v>
      </c>
      <c r="AF17" s="3">
        <v>29.0</v>
      </c>
      <c r="AG17" s="3">
        <v>1.0</v>
      </c>
      <c r="AH17" s="3">
        <v>0.0</v>
      </c>
      <c r="AI17" s="3">
        <v>0.0</v>
      </c>
      <c r="AJ17" s="3">
        <v>1.0</v>
      </c>
      <c r="AK17" s="3">
        <v>0.0</v>
      </c>
      <c r="AL17" s="3">
        <v>1.0</v>
      </c>
    </row>
    <row r="18">
      <c r="A18" s="1" t="s">
        <v>38</v>
      </c>
      <c r="B18" s="3">
        <v>40306.0</v>
      </c>
      <c r="C18" s="6">
        <v>46299.0</v>
      </c>
      <c r="D18" s="3" t="s">
        <v>95</v>
      </c>
      <c r="E18" s="1" t="s">
        <v>41</v>
      </c>
      <c r="F18" s="3">
        <v>84335.0</v>
      </c>
      <c r="G18" s="1" t="s">
        <v>168</v>
      </c>
      <c r="H18" s="4">
        <v>45864.723958333336</v>
      </c>
      <c r="I18" s="1" t="s">
        <v>43</v>
      </c>
      <c r="J18" s="1" t="s">
        <v>169</v>
      </c>
      <c r="K18" s="1" t="s">
        <v>45</v>
      </c>
      <c r="L18" s="1" t="s">
        <v>46</v>
      </c>
      <c r="M18" s="1" t="s">
        <v>64</v>
      </c>
      <c r="N18" s="1" t="s">
        <v>170</v>
      </c>
      <c r="O18" s="1" t="s">
        <v>171</v>
      </c>
      <c r="P18" s="3" t="s">
        <v>113</v>
      </c>
      <c r="Q18" s="3" t="s">
        <v>51</v>
      </c>
      <c r="R18" s="3">
        <v>1720.0</v>
      </c>
      <c r="S18" s="1" t="s">
        <v>172</v>
      </c>
      <c r="T18" s="1" t="s">
        <v>53</v>
      </c>
      <c r="U18" s="1" t="s">
        <v>81</v>
      </c>
      <c r="V18" s="1" t="s">
        <v>130</v>
      </c>
      <c r="W18" s="1" t="s">
        <v>56</v>
      </c>
      <c r="X18" s="1" t="s">
        <v>57</v>
      </c>
      <c r="Y18" s="1" t="s">
        <v>58</v>
      </c>
      <c r="Z18" s="1" t="s">
        <v>59</v>
      </c>
      <c r="AA18" s="3">
        <v>7.0</v>
      </c>
      <c r="AB18" s="1" t="s">
        <v>131</v>
      </c>
      <c r="AC18" s="3">
        <v>29.0</v>
      </c>
      <c r="AD18" s="3">
        <v>29.0</v>
      </c>
      <c r="AE18" s="5">
        <v>0.6414</v>
      </c>
      <c r="AF18" s="3">
        <v>93.0</v>
      </c>
      <c r="AG18" s="3">
        <v>5.0</v>
      </c>
      <c r="AH18" s="3">
        <v>0.0</v>
      </c>
      <c r="AI18" s="3">
        <v>3.0</v>
      </c>
      <c r="AJ18" s="3">
        <v>2.0</v>
      </c>
      <c r="AK18" s="3">
        <v>0.0</v>
      </c>
      <c r="AL18" s="3">
        <v>5.0</v>
      </c>
    </row>
    <row r="19">
      <c r="A19" s="1" t="s">
        <v>38</v>
      </c>
      <c r="B19" s="3">
        <v>40244.0</v>
      </c>
      <c r="C19" s="6">
        <v>46026.0</v>
      </c>
      <c r="D19" s="3" t="s">
        <v>40</v>
      </c>
      <c r="E19" s="1" t="s">
        <v>41</v>
      </c>
      <c r="F19" s="3">
        <v>87664.0</v>
      </c>
      <c r="G19" s="1" t="s">
        <v>173</v>
      </c>
      <c r="H19" s="4">
        <v>46014.48486111111</v>
      </c>
      <c r="I19" s="1" t="s">
        <v>43</v>
      </c>
      <c r="J19" s="1" t="s">
        <v>174</v>
      </c>
      <c r="K19" s="1" t="s">
        <v>53</v>
      </c>
      <c r="L19" s="1" t="s">
        <v>46</v>
      </c>
      <c r="M19" s="1" t="s">
        <v>175</v>
      </c>
      <c r="N19" s="1" t="s">
        <v>176</v>
      </c>
      <c r="O19" s="1" t="s">
        <v>177</v>
      </c>
      <c r="P19" s="3" t="s">
        <v>178</v>
      </c>
      <c r="Q19" s="3" t="s">
        <v>51</v>
      </c>
      <c r="R19" s="3">
        <v>1791.0</v>
      </c>
      <c r="S19" s="1" t="s">
        <v>69</v>
      </c>
      <c r="T19" s="1" t="s">
        <v>53</v>
      </c>
      <c r="U19" s="1" t="s">
        <v>70</v>
      </c>
      <c r="V19" s="1" t="s">
        <v>71</v>
      </c>
      <c r="W19" s="1" t="s">
        <v>56</v>
      </c>
      <c r="X19" s="1" t="s">
        <v>72</v>
      </c>
      <c r="Y19" s="1" t="s">
        <v>58</v>
      </c>
      <c r="Z19" s="1" t="s">
        <v>59</v>
      </c>
      <c r="AA19" s="3">
        <v>7.0</v>
      </c>
      <c r="AB19" s="1" t="s">
        <v>60</v>
      </c>
      <c r="AC19" s="3">
        <v>34.0</v>
      </c>
      <c r="AD19" s="3">
        <v>34.0</v>
      </c>
      <c r="AE19" s="5">
        <v>1.0</v>
      </c>
      <c r="AF19" s="3">
        <v>204.0</v>
      </c>
      <c r="AG19" s="3">
        <v>6.0</v>
      </c>
      <c r="AH19" s="3">
        <v>0.0</v>
      </c>
      <c r="AI19" s="3">
        <v>6.0</v>
      </c>
      <c r="AJ19" s="3">
        <v>0.0</v>
      </c>
      <c r="AK19" s="3">
        <v>0.0</v>
      </c>
      <c r="AL19" s="3">
        <v>6.0</v>
      </c>
    </row>
    <row r="20">
      <c r="A20" s="1" t="s">
        <v>38</v>
      </c>
      <c r="B20" s="3">
        <v>40233.0</v>
      </c>
      <c r="C20" s="6">
        <v>46299.0</v>
      </c>
      <c r="D20" s="3" t="s">
        <v>83</v>
      </c>
      <c r="E20" s="1" t="s">
        <v>41</v>
      </c>
      <c r="F20" s="3">
        <v>79417.0</v>
      </c>
      <c r="G20" s="1" t="s">
        <v>179</v>
      </c>
      <c r="H20" s="4">
        <v>45660.65342592593</v>
      </c>
      <c r="I20" s="1" t="s">
        <v>180</v>
      </c>
      <c r="J20" s="1" t="s">
        <v>181</v>
      </c>
      <c r="K20" s="1" t="s">
        <v>182</v>
      </c>
      <c r="L20" s="1" t="s">
        <v>46</v>
      </c>
      <c r="M20" s="1" t="s">
        <v>141</v>
      </c>
      <c r="N20" s="1" t="s">
        <v>183</v>
      </c>
      <c r="O20" s="1" t="s">
        <v>184</v>
      </c>
      <c r="P20" s="3" t="s">
        <v>67</v>
      </c>
      <c r="Q20" s="3" t="s">
        <v>88</v>
      </c>
      <c r="R20" s="3">
        <v>1758.0</v>
      </c>
      <c r="S20" s="1" t="s">
        <v>185</v>
      </c>
      <c r="T20" s="1" t="s">
        <v>186</v>
      </c>
      <c r="U20" s="1" t="s">
        <v>187</v>
      </c>
      <c r="V20" s="1" t="s">
        <v>92</v>
      </c>
      <c r="W20" s="1" t="s">
        <v>93</v>
      </c>
      <c r="X20" s="1" t="s">
        <v>57</v>
      </c>
      <c r="Y20" s="1" t="s">
        <v>58</v>
      </c>
      <c r="Z20" s="1" t="s">
        <v>59</v>
      </c>
      <c r="AA20" s="3">
        <v>8.0</v>
      </c>
      <c r="AB20" s="1" t="s">
        <v>188</v>
      </c>
      <c r="AC20" s="3">
        <v>11.0</v>
      </c>
      <c r="AD20" s="3">
        <v>11.0</v>
      </c>
      <c r="AE20" s="5">
        <v>0.8788</v>
      </c>
      <c r="AF20" s="3">
        <v>29.0</v>
      </c>
      <c r="AG20" s="3">
        <v>4.0</v>
      </c>
      <c r="AH20" s="3">
        <v>0.0</v>
      </c>
      <c r="AI20" s="3">
        <v>3.0</v>
      </c>
      <c r="AJ20" s="3">
        <v>0.0</v>
      </c>
      <c r="AK20" s="3">
        <v>1.0</v>
      </c>
      <c r="AL20" s="3">
        <v>3.0</v>
      </c>
    </row>
    <row r="21">
      <c r="A21" s="1" t="s">
        <v>38</v>
      </c>
      <c r="B21" s="3">
        <v>40382.0</v>
      </c>
      <c r="C21" s="3" t="s">
        <v>145</v>
      </c>
      <c r="D21" s="3" t="s">
        <v>146</v>
      </c>
      <c r="E21" s="1" t="s">
        <v>41</v>
      </c>
      <c r="F21" s="3">
        <v>13352.0</v>
      </c>
      <c r="G21" s="1" t="s">
        <v>189</v>
      </c>
      <c r="H21" s="4">
        <v>42795.935844907406</v>
      </c>
      <c r="I21" s="1" t="s">
        <v>190</v>
      </c>
      <c r="J21" s="1" t="s">
        <v>97</v>
      </c>
      <c r="K21" s="1" t="s">
        <v>63</v>
      </c>
      <c r="L21" s="1" t="s">
        <v>46</v>
      </c>
      <c r="M21" s="1" t="s">
        <v>191</v>
      </c>
      <c r="N21" s="7"/>
      <c r="O21" s="1" t="s">
        <v>192</v>
      </c>
      <c r="P21" s="3" t="s">
        <v>193</v>
      </c>
      <c r="Q21" s="3" t="s">
        <v>88</v>
      </c>
      <c r="R21" s="3">
        <v>22.0</v>
      </c>
      <c r="S21" s="1" t="s">
        <v>194</v>
      </c>
      <c r="T21" s="1" t="s">
        <v>148</v>
      </c>
      <c r="U21" s="1" t="s">
        <v>149</v>
      </c>
      <c r="V21" s="1" t="s">
        <v>55</v>
      </c>
      <c r="W21" s="1" t="s">
        <v>56</v>
      </c>
      <c r="X21" s="1" t="s">
        <v>57</v>
      </c>
      <c r="Y21" s="1" t="s">
        <v>58</v>
      </c>
      <c r="Z21" s="1" t="s">
        <v>59</v>
      </c>
      <c r="AA21" s="3">
        <v>6.0</v>
      </c>
      <c r="AB21" s="1" t="s">
        <v>60</v>
      </c>
      <c r="AC21" s="3">
        <v>18.0</v>
      </c>
      <c r="AD21" s="3">
        <v>18.0</v>
      </c>
      <c r="AE21" s="5">
        <v>0.7917</v>
      </c>
      <c r="AF21" s="3">
        <v>57.0</v>
      </c>
      <c r="AG21" s="3">
        <v>4.0</v>
      </c>
      <c r="AH21" s="3">
        <v>0.0</v>
      </c>
      <c r="AI21" s="3">
        <v>4.0</v>
      </c>
      <c r="AJ21" s="3">
        <v>0.0</v>
      </c>
      <c r="AK21" s="3">
        <v>0.0</v>
      </c>
      <c r="AL21" s="3">
        <v>4.0</v>
      </c>
    </row>
    <row r="22">
      <c r="A22" s="1" t="s">
        <v>38</v>
      </c>
      <c r="B22" s="3">
        <v>40248.0</v>
      </c>
      <c r="C22" s="6">
        <v>46026.0</v>
      </c>
      <c r="D22" s="3" t="s">
        <v>40</v>
      </c>
      <c r="E22" s="1" t="s">
        <v>41</v>
      </c>
      <c r="F22" s="3">
        <v>73503.0</v>
      </c>
      <c r="G22" s="1" t="s">
        <v>195</v>
      </c>
      <c r="H22" s="4">
        <v>45471.50630787037</v>
      </c>
      <c r="I22" s="1" t="s">
        <v>196</v>
      </c>
      <c r="J22" s="1" t="s">
        <v>197</v>
      </c>
      <c r="K22" s="1" t="s">
        <v>198</v>
      </c>
      <c r="L22" s="1" t="s">
        <v>46</v>
      </c>
      <c r="M22" s="1" t="s">
        <v>47</v>
      </c>
      <c r="N22" s="7"/>
      <c r="O22" s="1" t="s">
        <v>199</v>
      </c>
      <c r="P22" s="3" t="s">
        <v>39</v>
      </c>
      <c r="Q22" s="3" t="s">
        <v>88</v>
      </c>
      <c r="R22" s="3">
        <v>1785.0</v>
      </c>
      <c r="S22" s="1" t="s">
        <v>200</v>
      </c>
      <c r="T22" s="1" t="s">
        <v>53</v>
      </c>
      <c r="U22" s="1" t="s">
        <v>81</v>
      </c>
      <c r="V22" s="1" t="s">
        <v>71</v>
      </c>
      <c r="W22" s="1" t="s">
        <v>56</v>
      </c>
      <c r="X22" s="1" t="s">
        <v>72</v>
      </c>
      <c r="Y22" s="1" t="s">
        <v>58</v>
      </c>
      <c r="Z22" s="1" t="s">
        <v>59</v>
      </c>
      <c r="AA22" s="3">
        <v>8.0</v>
      </c>
      <c r="AB22" s="1" t="s">
        <v>82</v>
      </c>
      <c r="AC22" s="3">
        <v>34.0</v>
      </c>
      <c r="AD22" s="3">
        <v>34.0</v>
      </c>
      <c r="AE22" s="5">
        <v>0.8578</v>
      </c>
      <c r="AF22" s="3">
        <v>175.0</v>
      </c>
      <c r="AG22" s="3">
        <v>6.0</v>
      </c>
      <c r="AH22" s="3">
        <v>0.0</v>
      </c>
      <c r="AI22" s="3">
        <v>6.0</v>
      </c>
      <c r="AJ22" s="3">
        <v>0.0</v>
      </c>
      <c r="AK22" s="3">
        <v>0.0</v>
      </c>
      <c r="AL22" s="3">
        <v>6.0</v>
      </c>
    </row>
    <row r="23">
      <c r="A23" s="1" t="s">
        <v>38</v>
      </c>
      <c r="B23" s="3">
        <v>40266.0</v>
      </c>
      <c r="C23" s="6">
        <v>46026.0</v>
      </c>
      <c r="D23" s="3" t="s">
        <v>40</v>
      </c>
      <c r="E23" s="1" t="s">
        <v>41</v>
      </c>
      <c r="F23" s="3">
        <v>88765.0</v>
      </c>
      <c r="G23" s="1" t="s">
        <v>201</v>
      </c>
      <c r="H23" s="4">
        <v>46073.83101851852</v>
      </c>
      <c r="I23" s="1" t="s">
        <v>43</v>
      </c>
      <c r="J23" s="1" t="s">
        <v>202</v>
      </c>
      <c r="K23" s="1" t="s">
        <v>203</v>
      </c>
      <c r="L23" s="1" t="s">
        <v>46</v>
      </c>
      <c r="M23" s="1" t="s">
        <v>64</v>
      </c>
      <c r="N23" s="1" t="s">
        <v>204</v>
      </c>
      <c r="O23" s="1" t="s">
        <v>205</v>
      </c>
      <c r="P23" s="3" t="s">
        <v>39</v>
      </c>
      <c r="Q23" s="3" t="s">
        <v>88</v>
      </c>
      <c r="R23" s="3">
        <v>1790.0</v>
      </c>
      <c r="S23" s="1" t="s">
        <v>206</v>
      </c>
      <c r="T23" s="1" t="s">
        <v>53</v>
      </c>
      <c r="U23" s="1" t="s">
        <v>70</v>
      </c>
      <c r="V23" s="1" t="s">
        <v>71</v>
      </c>
      <c r="W23" s="1" t="s">
        <v>56</v>
      </c>
      <c r="X23" s="1" t="s">
        <v>72</v>
      </c>
      <c r="Y23" s="1" t="s">
        <v>58</v>
      </c>
      <c r="Z23" s="1" t="s">
        <v>59</v>
      </c>
      <c r="AA23" s="3">
        <v>7.0</v>
      </c>
      <c r="AB23" s="1" t="s">
        <v>60</v>
      </c>
      <c r="AC23" s="3">
        <v>19.0</v>
      </c>
      <c r="AD23" s="3">
        <v>19.0</v>
      </c>
      <c r="AE23" s="5">
        <v>0.614</v>
      </c>
      <c r="AF23" s="3">
        <v>70.0</v>
      </c>
      <c r="AG23" s="3">
        <v>6.0</v>
      </c>
      <c r="AH23" s="3">
        <v>0.0</v>
      </c>
      <c r="AI23" s="3">
        <v>6.0</v>
      </c>
      <c r="AJ23" s="3">
        <v>0.0</v>
      </c>
      <c r="AK23" s="3">
        <v>0.0</v>
      </c>
      <c r="AL23" s="3">
        <v>6.0</v>
      </c>
    </row>
    <row r="24">
      <c r="A24" s="1" t="s">
        <v>38</v>
      </c>
      <c r="B24" s="3">
        <v>40409.0</v>
      </c>
      <c r="C24" s="3" t="s">
        <v>145</v>
      </c>
      <c r="D24" s="3" t="s">
        <v>146</v>
      </c>
      <c r="E24" s="1" t="s">
        <v>41</v>
      </c>
      <c r="F24" s="3">
        <v>86746.0</v>
      </c>
      <c r="G24" s="1" t="s">
        <v>207</v>
      </c>
      <c r="H24" s="4">
        <v>45968.928935185184</v>
      </c>
      <c r="I24" s="1" t="s">
        <v>43</v>
      </c>
      <c r="J24" s="1" t="s">
        <v>208</v>
      </c>
      <c r="K24" s="1" t="s">
        <v>209</v>
      </c>
      <c r="L24" s="1" t="s">
        <v>46</v>
      </c>
      <c r="M24" s="1" t="s">
        <v>64</v>
      </c>
      <c r="N24" s="1" t="s">
        <v>210</v>
      </c>
      <c r="O24" s="1" t="s">
        <v>211</v>
      </c>
      <c r="P24" s="3" t="s">
        <v>193</v>
      </c>
      <c r="Q24" s="3" t="s">
        <v>128</v>
      </c>
      <c r="R24" s="3">
        <v>79.0</v>
      </c>
      <c r="S24" s="1" t="s">
        <v>212</v>
      </c>
      <c r="T24" s="1" t="s">
        <v>148</v>
      </c>
      <c r="U24" s="1" t="s">
        <v>157</v>
      </c>
      <c r="V24" s="1" t="s">
        <v>55</v>
      </c>
      <c r="W24" s="1" t="s">
        <v>56</v>
      </c>
      <c r="X24" s="1" t="s">
        <v>57</v>
      </c>
      <c r="Y24" s="1" t="s">
        <v>58</v>
      </c>
      <c r="Z24" s="1" t="s">
        <v>59</v>
      </c>
      <c r="AA24" s="3">
        <v>7.0</v>
      </c>
      <c r="AB24" s="1" t="s">
        <v>60</v>
      </c>
      <c r="AC24" s="3">
        <v>29.0</v>
      </c>
      <c r="AD24" s="3">
        <v>29.0</v>
      </c>
      <c r="AE24" s="5">
        <v>0.7414</v>
      </c>
      <c r="AF24" s="3">
        <v>86.0</v>
      </c>
      <c r="AG24" s="3">
        <v>4.0</v>
      </c>
      <c r="AH24" s="3">
        <v>0.0</v>
      </c>
      <c r="AI24" s="3">
        <v>2.0</v>
      </c>
      <c r="AJ24" s="3">
        <v>2.0</v>
      </c>
      <c r="AK24" s="3">
        <v>0.0</v>
      </c>
      <c r="AL24" s="3">
        <v>4.0</v>
      </c>
    </row>
    <row r="25">
      <c r="A25" s="1" t="s">
        <v>38</v>
      </c>
      <c r="B25" s="3">
        <v>40411.0</v>
      </c>
      <c r="C25" s="3" t="s">
        <v>145</v>
      </c>
      <c r="D25" s="3" t="s">
        <v>146</v>
      </c>
      <c r="E25" s="1" t="s">
        <v>41</v>
      </c>
      <c r="F25" s="3">
        <v>86746.0</v>
      </c>
      <c r="G25" s="1" t="s">
        <v>207</v>
      </c>
      <c r="H25" s="4">
        <v>45968.928935185184</v>
      </c>
      <c r="I25" s="1" t="s">
        <v>43</v>
      </c>
      <c r="J25" s="1" t="s">
        <v>208</v>
      </c>
      <c r="K25" s="1" t="s">
        <v>209</v>
      </c>
      <c r="L25" s="1" t="s">
        <v>46</v>
      </c>
      <c r="M25" s="1" t="s">
        <v>64</v>
      </c>
      <c r="N25" s="1" t="s">
        <v>210</v>
      </c>
      <c r="O25" s="1" t="s">
        <v>211</v>
      </c>
      <c r="P25" s="3" t="s">
        <v>193</v>
      </c>
      <c r="Q25" s="3" t="s">
        <v>128</v>
      </c>
      <c r="R25" s="3">
        <v>78.0</v>
      </c>
      <c r="S25" s="1" t="s">
        <v>213</v>
      </c>
      <c r="T25" s="1" t="s">
        <v>148</v>
      </c>
      <c r="U25" s="1" t="s">
        <v>157</v>
      </c>
      <c r="V25" s="1" t="s">
        <v>55</v>
      </c>
      <c r="W25" s="1" t="s">
        <v>56</v>
      </c>
      <c r="X25" s="1" t="s">
        <v>57</v>
      </c>
      <c r="Y25" s="1" t="s">
        <v>58</v>
      </c>
      <c r="Z25" s="1" t="s">
        <v>59</v>
      </c>
      <c r="AA25" s="3">
        <v>7.0</v>
      </c>
      <c r="AB25" s="1" t="s">
        <v>60</v>
      </c>
      <c r="AC25" s="3">
        <v>34.0</v>
      </c>
      <c r="AD25" s="3">
        <v>34.0</v>
      </c>
      <c r="AE25" s="5">
        <v>0.7794</v>
      </c>
      <c r="AF25" s="3">
        <v>106.0</v>
      </c>
      <c r="AG25" s="3">
        <v>4.0</v>
      </c>
      <c r="AH25" s="3">
        <v>0.0</v>
      </c>
      <c r="AI25" s="3">
        <v>2.0</v>
      </c>
      <c r="AJ25" s="3">
        <v>2.0</v>
      </c>
      <c r="AK25" s="3">
        <v>0.0</v>
      </c>
      <c r="AL25" s="3">
        <v>4.0</v>
      </c>
    </row>
    <row r="26">
      <c r="A26" s="1" t="s">
        <v>38</v>
      </c>
      <c r="B26" s="3">
        <v>40383.0</v>
      </c>
      <c r="C26" s="3" t="s">
        <v>178</v>
      </c>
      <c r="D26" s="3" t="s">
        <v>146</v>
      </c>
      <c r="E26" s="1" t="s">
        <v>41</v>
      </c>
      <c r="F26" s="3">
        <v>57790.0</v>
      </c>
      <c r="G26" s="1" t="s">
        <v>214</v>
      </c>
      <c r="H26" s="4">
        <v>44713.17008101852</v>
      </c>
      <c r="I26" s="1" t="s">
        <v>215</v>
      </c>
      <c r="J26" s="1" t="s">
        <v>151</v>
      </c>
      <c r="K26" s="1" t="s">
        <v>152</v>
      </c>
      <c r="L26" s="1" t="s">
        <v>46</v>
      </c>
      <c r="M26" s="1" t="s">
        <v>47</v>
      </c>
      <c r="N26" s="1" t="s">
        <v>216</v>
      </c>
      <c r="O26" s="1" t="s">
        <v>217</v>
      </c>
      <c r="P26" s="3" t="s">
        <v>145</v>
      </c>
      <c r="Q26" s="3" t="s">
        <v>88</v>
      </c>
      <c r="R26" s="3">
        <v>22.0</v>
      </c>
      <c r="S26" s="1" t="s">
        <v>194</v>
      </c>
      <c r="T26" s="1" t="s">
        <v>148</v>
      </c>
      <c r="U26" s="1" t="s">
        <v>149</v>
      </c>
      <c r="V26" s="1" t="s">
        <v>55</v>
      </c>
      <c r="W26" s="1" t="s">
        <v>56</v>
      </c>
      <c r="X26" s="1" t="s">
        <v>57</v>
      </c>
      <c r="Y26" s="1" t="s">
        <v>58</v>
      </c>
      <c r="Z26" s="1" t="s">
        <v>59</v>
      </c>
      <c r="AA26" s="3">
        <v>8.0</v>
      </c>
      <c r="AB26" s="1" t="s">
        <v>60</v>
      </c>
      <c r="AC26" s="3">
        <v>28.0</v>
      </c>
      <c r="AD26" s="3">
        <v>28.0</v>
      </c>
      <c r="AE26" s="5">
        <v>0.8643</v>
      </c>
      <c r="AF26" s="3">
        <v>121.0</v>
      </c>
      <c r="AG26" s="3">
        <v>5.0</v>
      </c>
      <c r="AH26" s="3">
        <v>0.0</v>
      </c>
      <c r="AI26" s="3">
        <v>5.0</v>
      </c>
      <c r="AJ26" s="3">
        <v>0.0</v>
      </c>
      <c r="AK26" s="3">
        <v>0.0</v>
      </c>
      <c r="AL26" s="3">
        <v>5.0</v>
      </c>
    </row>
    <row r="27">
      <c r="A27" s="1" t="s">
        <v>38</v>
      </c>
      <c r="B27" s="3">
        <v>40218.0</v>
      </c>
      <c r="C27" s="6">
        <v>46026.0</v>
      </c>
      <c r="D27" s="3" t="s">
        <v>83</v>
      </c>
      <c r="E27" s="1" t="s">
        <v>41</v>
      </c>
      <c r="F27" s="3">
        <v>76728.0</v>
      </c>
      <c r="G27" s="1" t="s">
        <v>218</v>
      </c>
      <c r="H27" s="4">
        <v>45553.96175925926</v>
      </c>
      <c r="I27" s="1" t="s">
        <v>43</v>
      </c>
      <c r="J27" s="1" t="s">
        <v>219</v>
      </c>
      <c r="K27" s="1" t="s">
        <v>63</v>
      </c>
      <c r="L27" s="1" t="s">
        <v>46</v>
      </c>
      <c r="M27" s="1" t="s">
        <v>141</v>
      </c>
      <c r="N27" s="1" t="s">
        <v>220</v>
      </c>
      <c r="O27" s="1" t="s">
        <v>221</v>
      </c>
      <c r="P27" s="6">
        <v>46085.0</v>
      </c>
      <c r="Q27" s="3" t="s">
        <v>128</v>
      </c>
      <c r="R27" s="3">
        <v>1984.0</v>
      </c>
      <c r="S27" s="1" t="s">
        <v>89</v>
      </c>
      <c r="T27" s="1" t="s">
        <v>90</v>
      </c>
      <c r="U27" s="1" t="s">
        <v>91</v>
      </c>
      <c r="V27" s="1" t="s">
        <v>92</v>
      </c>
      <c r="W27" s="1" t="s">
        <v>93</v>
      </c>
      <c r="X27" s="1" t="s">
        <v>57</v>
      </c>
      <c r="Y27" s="1" t="s">
        <v>58</v>
      </c>
      <c r="Z27" s="1" t="s">
        <v>59</v>
      </c>
      <c r="AA27" s="3">
        <v>7.0</v>
      </c>
      <c r="AB27" s="1" t="s">
        <v>144</v>
      </c>
      <c r="AC27" s="3">
        <v>13.0</v>
      </c>
      <c r="AD27" s="3">
        <v>13.0</v>
      </c>
      <c r="AE27" s="5">
        <v>0.8901</v>
      </c>
      <c r="AF27" s="3">
        <v>81.0</v>
      </c>
      <c r="AG27" s="3">
        <v>7.0</v>
      </c>
      <c r="AH27" s="3">
        <v>0.0</v>
      </c>
      <c r="AI27" s="3">
        <v>7.0</v>
      </c>
      <c r="AJ27" s="3">
        <v>0.0</v>
      </c>
      <c r="AK27" s="3">
        <v>0.0</v>
      </c>
      <c r="AL27" s="3">
        <v>7.0</v>
      </c>
    </row>
    <row r="28">
      <c r="A28" s="1" t="s">
        <v>38</v>
      </c>
      <c r="B28" s="3">
        <v>40413.0</v>
      </c>
      <c r="C28" s="3" t="s">
        <v>145</v>
      </c>
      <c r="D28" s="3" t="s">
        <v>146</v>
      </c>
      <c r="E28" s="1" t="s">
        <v>41</v>
      </c>
      <c r="F28" s="3">
        <v>73390.0</v>
      </c>
      <c r="G28" s="1" t="s">
        <v>222</v>
      </c>
      <c r="H28" s="4">
        <v>45468.463055555556</v>
      </c>
      <c r="J28" s="1" t="s">
        <v>223</v>
      </c>
      <c r="K28" s="1" t="s">
        <v>224</v>
      </c>
      <c r="L28" s="1" t="s">
        <v>225</v>
      </c>
      <c r="M28" s="1" t="s">
        <v>47</v>
      </c>
      <c r="N28" s="1" t="s">
        <v>226</v>
      </c>
      <c r="O28" s="1" t="s">
        <v>227</v>
      </c>
      <c r="P28" s="3" t="s">
        <v>100</v>
      </c>
      <c r="Q28" s="3" t="s">
        <v>128</v>
      </c>
      <c r="R28" s="3">
        <v>125.0</v>
      </c>
      <c r="S28" s="1" t="s">
        <v>228</v>
      </c>
      <c r="T28" s="1" t="s">
        <v>148</v>
      </c>
      <c r="U28" s="1" t="s">
        <v>157</v>
      </c>
      <c r="V28" s="1" t="s">
        <v>55</v>
      </c>
      <c r="W28" s="1" t="s">
        <v>56</v>
      </c>
      <c r="X28" s="1" t="s">
        <v>57</v>
      </c>
      <c r="Y28" s="1" t="s">
        <v>58</v>
      </c>
      <c r="Z28" s="1" t="s">
        <v>59</v>
      </c>
      <c r="AA28" s="3">
        <v>7.0</v>
      </c>
      <c r="AB28" s="1" t="s">
        <v>60</v>
      </c>
      <c r="AC28" s="3">
        <v>31.0</v>
      </c>
      <c r="AD28" s="3">
        <v>31.0</v>
      </c>
      <c r="AE28" s="5">
        <v>0.871</v>
      </c>
      <c r="AF28" s="3">
        <v>54.0</v>
      </c>
      <c r="AG28" s="3">
        <v>2.0</v>
      </c>
      <c r="AH28" s="3">
        <v>0.0</v>
      </c>
      <c r="AI28" s="3">
        <v>2.0</v>
      </c>
      <c r="AJ28" s="3">
        <v>0.0</v>
      </c>
      <c r="AK28" s="3">
        <v>0.0</v>
      </c>
      <c r="AL28" s="3">
        <v>2.0</v>
      </c>
    </row>
    <row r="29">
      <c r="A29" s="1" t="s">
        <v>38</v>
      </c>
      <c r="B29" s="3">
        <v>40415.0</v>
      </c>
      <c r="C29" s="3" t="s">
        <v>145</v>
      </c>
      <c r="D29" s="3" t="s">
        <v>146</v>
      </c>
      <c r="E29" s="1" t="s">
        <v>41</v>
      </c>
      <c r="F29" s="3">
        <v>73390.0</v>
      </c>
      <c r="G29" s="1" t="s">
        <v>222</v>
      </c>
      <c r="H29" s="4">
        <v>45468.463055555556</v>
      </c>
      <c r="J29" s="1" t="s">
        <v>223</v>
      </c>
      <c r="K29" s="1" t="s">
        <v>224</v>
      </c>
      <c r="L29" s="1" t="s">
        <v>225</v>
      </c>
      <c r="M29" s="1" t="s">
        <v>47</v>
      </c>
      <c r="N29" s="1" t="s">
        <v>226</v>
      </c>
      <c r="O29" s="1" t="s">
        <v>227</v>
      </c>
      <c r="P29" s="3" t="s">
        <v>100</v>
      </c>
      <c r="Q29" s="3" t="s">
        <v>128</v>
      </c>
      <c r="R29" s="3">
        <v>126.0</v>
      </c>
      <c r="S29" s="1" t="s">
        <v>229</v>
      </c>
      <c r="T29" s="1" t="s">
        <v>148</v>
      </c>
      <c r="U29" s="1" t="s">
        <v>157</v>
      </c>
      <c r="V29" s="1" t="s">
        <v>55</v>
      </c>
      <c r="W29" s="1" t="s">
        <v>56</v>
      </c>
      <c r="X29" s="1" t="s">
        <v>57</v>
      </c>
      <c r="Y29" s="1" t="s">
        <v>58</v>
      </c>
      <c r="Z29" s="1" t="s">
        <v>59</v>
      </c>
      <c r="AA29" s="3">
        <v>7.0</v>
      </c>
      <c r="AB29" s="1" t="s">
        <v>60</v>
      </c>
      <c r="AC29" s="3">
        <v>40.0</v>
      </c>
      <c r="AD29" s="3">
        <v>40.0</v>
      </c>
      <c r="AE29" s="5">
        <v>0.8875</v>
      </c>
      <c r="AF29" s="3">
        <v>71.0</v>
      </c>
      <c r="AG29" s="3">
        <v>2.0</v>
      </c>
      <c r="AH29" s="3">
        <v>0.0</v>
      </c>
      <c r="AI29" s="3">
        <v>2.0</v>
      </c>
      <c r="AJ29" s="3">
        <v>0.0</v>
      </c>
      <c r="AK29" s="3">
        <v>0.0</v>
      </c>
      <c r="AL29" s="3">
        <v>2.0</v>
      </c>
    </row>
    <row r="30">
      <c r="A30" s="1" t="s">
        <v>38</v>
      </c>
      <c r="B30" s="3">
        <v>40408.0</v>
      </c>
      <c r="C30" s="3" t="s">
        <v>145</v>
      </c>
      <c r="D30" s="3" t="s">
        <v>146</v>
      </c>
      <c r="E30" s="1" t="s">
        <v>41</v>
      </c>
      <c r="F30" s="3">
        <v>81622.0</v>
      </c>
      <c r="G30" s="1" t="s">
        <v>230</v>
      </c>
      <c r="H30" s="4">
        <v>45808.613078703704</v>
      </c>
      <c r="I30" s="1" t="s">
        <v>43</v>
      </c>
      <c r="J30" s="1" t="s">
        <v>151</v>
      </c>
      <c r="K30" s="1" t="s">
        <v>152</v>
      </c>
      <c r="L30" s="1" t="s">
        <v>46</v>
      </c>
      <c r="M30" s="1" t="s">
        <v>141</v>
      </c>
      <c r="N30" s="1" t="s">
        <v>183</v>
      </c>
      <c r="O30" s="1" t="s">
        <v>231</v>
      </c>
      <c r="P30" s="3" t="s">
        <v>127</v>
      </c>
      <c r="Q30" s="3" t="s">
        <v>128</v>
      </c>
      <c r="R30" s="3">
        <v>93.0</v>
      </c>
      <c r="S30" s="1" t="s">
        <v>232</v>
      </c>
      <c r="T30" s="1" t="s">
        <v>148</v>
      </c>
      <c r="U30" s="1" t="s">
        <v>157</v>
      </c>
      <c r="V30" s="1" t="s">
        <v>55</v>
      </c>
      <c r="W30" s="1" t="s">
        <v>56</v>
      </c>
      <c r="X30" s="1" t="s">
        <v>57</v>
      </c>
      <c r="Y30" s="1" t="s">
        <v>58</v>
      </c>
      <c r="Z30" s="1" t="s">
        <v>59</v>
      </c>
      <c r="AA30" s="3">
        <v>8.0</v>
      </c>
      <c r="AB30" s="1" t="s">
        <v>60</v>
      </c>
      <c r="AC30" s="3">
        <v>61.0</v>
      </c>
      <c r="AD30" s="3">
        <v>61.0</v>
      </c>
      <c r="AE30" s="5">
        <v>0.7923</v>
      </c>
      <c r="AF30" s="3">
        <v>145.0</v>
      </c>
      <c r="AG30" s="3">
        <v>3.0</v>
      </c>
      <c r="AH30" s="3">
        <v>0.0</v>
      </c>
      <c r="AI30" s="3">
        <v>1.0</v>
      </c>
      <c r="AJ30" s="3">
        <v>2.0</v>
      </c>
      <c r="AK30" s="3">
        <v>0.0</v>
      </c>
      <c r="AL30" s="3">
        <v>3.0</v>
      </c>
    </row>
    <row r="31">
      <c r="A31" s="1" t="s">
        <v>38</v>
      </c>
      <c r="B31" s="3">
        <v>40410.0</v>
      </c>
      <c r="C31" s="3" t="s">
        <v>145</v>
      </c>
      <c r="D31" s="3" t="s">
        <v>146</v>
      </c>
      <c r="E31" s="1" t="s">
        <v>41</v>
      </c>
      <c r="F31" s="3">
        <v>81622.0</v>
      </c>
      <c r="G31" s="1" t="s">
        <v>230</v>
      </c>
      <c r="H31" s="4">
        <v>45808.613078703704</v>
      </c>
      <c r="I31" s="1" t="s">
        <v>43</v>
      </c>
      <c r="J31" s="1" t="s">
        <v>151</v>
      </c>
      <c r="K31" s="1" t="s">
        <v>152</v>
      </c>
      <c r="L31" s="1" t="s">
        <v>46</v>
      </c>
      <c r="M31" s="1" t="s">
        <v>141</v>
      </c>
      <c r="N31" s="1" t="s">
        <v>183</v>
      </c>
      <c r="O31" s="1" t="s">
        <v>231</v>
      </c>
      <c r="P31" s="3" t="s">
        <v>113</v>
      </c>
      <c r="Q31" s="3" t="s">
        <v>51</v>
      </c>
      <c r="R31" s="3">
        <v>79.0</v>
      </c>
      <c r="S31" s="1" t="s">
        <v>212</v>
      </c>
      <c r="T31" s="1" t="s">
        <v>148</v>
      </c>
      <c r="U31" s="1" t="s">
        <v>157</v>
      </c>
      <c r="V31" s="1" t="s">
        <v>55</v>
      </c>
      <c r="W31" s="1" t="s">
        <v>56</v>
      </c>
      <c r="X31" s="1" t="s">
        <v>57</v>
      </c>
      <c r="Y31" s="1" t="s">
        <v>58</v>
      </c>
      <c r="Z31" s="1" t="s">
        <v>59</v>
      </c>
      <c r="AA31" s="3">
        <v>8.0</v>
      </c>
      <c r="AB31" s="1" t="s">
        <v>60</v>
      </c>
      <c r="AC31" s="3">
        <v>33.0</v>
      </c>
      <c r="AD31" s="3">
        <v>33.0</v>
      </c>
      <c r="AE31" s="5">
        <v>0.9636</v>
      </c>
      <c r="AF31" s="3">
        <v>159.0</v>
      </c>
      <c r="AG31" s="3">
        <v>5.0</v>
      </c>
      <c r="AH31" s="3">
        <v>0.0</v>
      </c>
      <c r="AI31" s="3">
        <v>3.0</v>
      </c>
      <c r="AJ31" s="3">
        <v>2.0</v>
      </c>
      <c r="AK31" s="3">
        <v>0.0</v>
      </c>
      <c r="AL31" s="3">
        <v>5.0</v>
      </c>
    </row>
    <row r="32">
      <c r="A32" s="1" t="s">
        <v>38</v>
      </c>
      <c r="B32" s="3">
        <v>40412.0</v>
      </c>
      <c r="C32" s="3" t="s">
        <v>145</v>
      </c>
      <c r="D32" s="3" t="s">
        <v>146</v>
      </c>
      <c r="E32" s="1" t="s">
        <v>41</v>
      </c>
      <c r="F32" s="3">
        <v>81622.0</v>
      </c>
      <c r="G32" s="1" t="s">
        <v>230</v>
      </c>
      <c r="H32" s="4">
        <v>45808.613078703704</v>
      </c>
      <c r="I32" s="1" t="s">
        <v>43</v>
      </c>
      <c r="J32" s="1" t="s">
        <v>151</v>
      </c>
      <c r="K32" s="1" t="s">
        <v>152</v>
      </c>
      <c r="L32" s="1" t="s">
        <v>46</v>
      </c>
      <c r="M32" s="1" t="s">
        <v>141</v>
      </c>
      <c r="N32" s="1" t="s">
        <v>183</v>
      </c>
      <c r="O32" s="1" t="s">
        <v>231</v>
      </c>
      <c r="P32" s="3" t="s">
        <v>113</v>
      </c>
      <c r="Q32" s="3" t="s">
        <v>51</v>
      </c>
      <c r="R32" s="3">
        <v>78.0</v>
      </c>
      <c r="S32" s="1" t="s">
        <v>213</v>
      </c>
      <c r="T32" s="1" t="s">
        <v>148</v>
      </c>
      <c r="U32" s="1" t="s">
        <v>157</v>
      </c>
      <c r="V32" s="1" t="s">
        <v>55</v>
      </c>
      <c r="W32" s="1" t="s">
        <v>56</v>
      </c>
      <c r="X32" s="1" t="s">
        <v>57</v>
      </c>
      <c r="Y32" s="1" t="s">
        <v>58</v>
      </c>
      <c r="Z32" s="1" t="s">
        <v>59</v>
      </c>
      <c r="AA32" s="3">
        <v>8.0</v>
      </c>
      <c r="AB32" s="1" t="s">
        <v>60</v>
      </c>
      <c r="AC32" s="3">
        <v>26.0</v>
      </c>
      <c r="AD32" s="3">
        <v>26.0</v>
      </c>
      <c r="AE32" s="5">
        <v>0.9769</v>
      </c>
      <c r="AF32" s="3">
        <v>127.0</v>
      </c>
      <c r="AG32" s="3">
        <v>5.0</v>
      </c>
      <c r="AH32" s="3">
        <v>0.0</v>
      </c>
      <c r="AI32" s="3">
        <v>4.0</v>
      </c>
      <c r="AJ32" s="3">
        <v>1.0</v>
      </c>
      <c r="AK32" s="3">
        <v>0.0</v>
      </c>
      <c r="AL32" s="3">
        <v>5.0</v>
      </c>
    </row>
    <row r="33">
      <c r="A33" s="1" t="s">
        <v>38</v>
      </c>
      <c r="B33" s="3">
        <v>40428.0</v>
      </c>
      <c r="C33" s="3" t="s">
        <v>145</v>
      </c>
      <c r="D33" s="3" t="s">
        <v>146</v>
      </c>
      <c r="E33" s="1" t="s">
        <v>41</v>
      </c>
      <c r="F33" s="3">
        <v>58131.0</v>
      </c>
      <c r="G33" s="1" t="s">
        <v>233</v>
      </c>
      <c r="H33" s="4">
        <v>44734.39333333333</v>
      </c>
      <c r="I33" s="1" t="s">
        <v>43</v>
      </c>
      <c r="J33" s="1" t="s">
        <v>234</v>
      </c>
      <c r="K33" s="1" t="s">
        <v>235</v>
      </c>
      <c r="L33" s="1" t="s">
        <v>46</v>
      </c>
      <c r="M33" s="1" t="s">
        <v>236</v>
      </c>
      <c r="N33" s="1" t="s">
        <v>237</v>
      </c>
      <c r="O33" s="1" t="s">
        <v>238</v>
      </c>
      <c r="P33" s="3" t="s">
        <v>67</v>
      </c>
      <c r="Q33" s="3" t="s">
        <v>51</v>
      </c>
      <c r="R33" s="3">
        <v>94.0</v>
      </c>
      <c r="S33" s="1" t="s">
        <v>239</v>
      </c>
      <c r="T33" s="1" t="s">
        <v>148</v>
      </c>
      <c r="U33" s="1" t="s">
        <v>157</v>
      </c>
      <c r="V33" s="1" t="s">
        <v>55</v>
      </c>
      <c r="W33" s="1" t="s">
        <v>56</v>
      </c>
      <c r="X33" s="1" t="s">
        <v>57</v>
      </c>
      <c r="Y33" s="1" t="s">
        <v>58</v>
      </c>
      <c r="Z33" s="1" t="s">
        <v>59</v>
      </c>
      <c r="AA33" s="3">
        <v>8.0</v>
      </c>
      <c r="AB33" s="1" t="s">
        <v>60</v>
      </c>
      <c r="AC33" s="3">
        <v>37.0</v>
      </c>
      <c r="AD33" s="3">
        <v>37.0</v>
      </c>
      <c r="AE33" s="5">
        <v>0.8865</v>
      </c>
      <c r="AF33" s="3">
        <v>164.0</v>
      </c>
      <c r="AG33" s="3">
        <v>5.0</v>
      </c>
      <c r="AH33" s="3">
        <v>0.0</v>
      </c>
      <c r="AI33" s="3">
        <v>5.0</v>
      </c>
      <c r="AJ33" s="3">
        <v>0.0</v>
      </c>
      <c r="AK33" s="3">
        <v>0.0</v>
      </c>
      <c r="AL33" s="3">
        <v>5.0</v>
      </c>
    </row>
    <row r="34">
      <c r="A34" s="1" t="s">
        <v>38</v>
      </c>
      <c r="B34" s="3">
        <v>40307.0</v>
      </c>
      <c r="C34" s="6">
        <v>46299.0</v>
      </c>
      <c r="D34" s="3" t="s">
        <v>95</v>
      </c>
      <c r="E34" s="1" t="s">
        <v>41</v>
      </c>
      <c r="F34" s="3">
        <v>89610.0</v>
      </c>
      <c r="G34" s="1" t="s">
        <v>240</v>
      </c>
      <c r="H34" s="4">
        <v>46128.83392361111</v>
      </c>
      <c r="I34" s="1" t="s">
        <v>43</v>
      </c>
      <c r="J34" s="1" t="s">
        <v>241</v>
      </c>
      <c r="K34" s="1" t="s">
        <v>241</v>
      </c>
      <c r="L34" s="1" t="s">
        <v>46</v>
      </c>
      <c r="M34" s="1" t="s">
        <v>64</v>
      </c>
      <c r="N34" s="1" t="s">
        <v>65</v>
      </c>
      <c r="O34" s="1" t="s">
        <v>242</v>
      </c>
      <c r="P34" s="3" t="s">
        <v>50</v>
      </c>
      <c r="Q34" s="3" t="s">
        <v>51</v>
      </c>
      <c r="R34" s="3">
        <v>1720.0</v>
      </c>
      <c r="S34" s="1" t="s">
        <v>172</v>
      </c>
      <c r="T34" s="1" t="s">
        <v>53</v>
      </c>
      <c r="U34" s="1" t="s">
        <v>81</v>
      </c>
      <c r="V34" s="1" t="s">
        <v>130</v>
      </c>
      <c r="W34" s="1" t="s">
        <v>56</v>
      </c>
      <c r="X34" s="1" t="s">
        <v>57</v>
      </c>
      <c r="Y34" s="1" t="s">
        <v>58</v>
      </c>
      <c r="Z34" s="1" t="s">
        <v>59</v>
      </c>
      <c r="AA34" s="3">
        <v>8.0</v>
      </c>
      <c r="AB34" s="1" t="s">
        <v>243</v>
      </c>
      <c r="AC34" s="3">
        <v>28.0</v>
      </c>
      <c r="AD34" s="3">
        <v>28.0</v>
      </c>
      <c r="AE34" s="5">
        <v>0.6818</v>
      </c>
      <c r="AF34" s="3">
        <v>60.0</v>
      </c>
      <c r="AG34" s="3">
        <v>3.0</v>
      </c>
      <c r="AH34" s="3">
        <v>0.0</v>
      </c>
      <c r="AI34" s="3">
        <v>1.0</v>
      </c>
      <c r="AJ34" s="3">
        <v>2.0</v>
      </c>
      <c r="AK34" s="3">
        <v>0.0</v>
      </c>
      <c r="AL34" s="3">
        <v>3.0</v>
      </c>
    </row>
    <row r="35">
      <c r="A35" s="1" t="s">
        <v>38</v>
      </c>
      <c r="B35" s="3">
        <v>40289.0</v>
      </c>
      <c r="C35" s="6">
        <v>46026.0</v>
      </c>
      <c r="D35" s="3" t="s">
        <v>40</v>
      </c>
      <c r="E35" s="1" t="s">
        <v>41</v>
      </c>
      <c r="F35" s="3">
        <v>89773.0</v>
      </c>
      <c r="G35" s="1" t="s">
        <v>244</v>
      </c>
      <c r="H35" s="4">
        <v>46134.537094907406</v>
      </c>
      <c r="I35" s="1" t="s">
        <v>133</v>
      </c>
      <c r="J35" s="1" t="s">
        <v>85</v>
      </c>
      <c r="K35" s="1" t="s">
        <v>63</v>
      </c>
      <c r="L35" s="1" t="s">
        <v>46</v>
      </c>
      <c r="M35" s="1" t="s">
        <v>47</v>
      </c>
      <c r="N35" s="1" t="s">
        <v>245</v>
      </c>
      <c r="O35" s="1" t="s">
        <v>246</v>
      </c>
      <c r="P35" s="3" t="s">
        <v>51</v>
      </c>
      <c r="Q35" s="3" t="s">
        <v>51</v>
      </c>
      <c r="R35" s="3">
        <v>1789.0</v>
      </c>
      <c r="S35" s="1" t="s">
        <v>247</v>
      </c>
      <c r="T35" s="1" t="s">
        <v>53</v>
      </c>
      <c r="U35" s="1" t="s">
        <v>81</v>
      </c>
      <c r="V35" s="1" t="s">
        <v>71</v>
      </c>
      <c r="W35" s="1" t="s">
        <v>56</v>
      </c>
      <c r="X35" s="1" t="s">
        <v>72</v>
      </c>
      <c r="Y35" s="1" t="s">
        <v>58</v>
      </c>
      <c r="Z35" s="1" t="s">
        <v>59</v>
      </c>
      <c r="AA35" s="3">
        <v>6.0</v>
      </c>
      <c r="AB35" s="1" t="s">
        <v>60</v>
      </c>
      <c r="AC35" s="3">
        <v>13.0</v>
      </c>
      <c r="AD35" s="3">
        <v>13.0</v>
      </c>
      <c r="AE35" s="5">
        <v>1.0</v>
      </c>
      <c r="AF35" s="3">
        <v>13.0</v>
      </c>
      <c r="AG35" s="3">
        <v>1.0</v>
      </c>
      <c r="AH35" s="3">
        <v>0.0</v>
      </c>
      <c r="AI35" s="3">
        <v>1.0</v>
      </c>
      <c r="AJ35" s="3">
        <v>0.0</v>
      </c>
      <c r="AK35" s="3">
        <v>0.0</v>
      </c>
      <c r="AL35" s="3">
        <v>1.0</v>
      </c>
    </row>
    <row r="36">
      <c r="A36" s="1" t="s">
        <v>38</v>
      </c>
      <c r="B36" s="3">
        <v>40393.0</v>
      </c>
      <c r="C36" s="3" t="s">
        <v>145</v>
      </c>
      <c r="D36" s="3" t="s">
        <v>146</v>
      </c>
      <c r="E36" s="1" t="s">
        <v>41</v>
      </c>
      <c r="F36" s="3">
        <v>11826.0</v>
      </c>
      <c r="G36" s="1" t="s">
        <v>248</v>
      </c>
      <c r="H36" s="4">
        <v>42703.916284722225</v>
      </c>
      <c r="I36" s="1" t="s">
        <v>249</v>
      </c>
      <c r="J36" s="1" t="s">
        <v>85</v>
      </c>
      <c r="K36" s="1" t="s">
        <v>63</v>
      </c>
      <c r="L36" s="1" t="s">
        <v>46</v>
      </c>
      <c r="M36" s="1" t="s">
        <v>250</v>
      </c>
      <c r="O36" s="1" t="s">
        <v>251</v>
      </c>
      <c r="P36" s="3" t="s">
        <v>145</v>
      </c>
      <c r="Q36" s="3" t="s">
        <v>88</v>
      </c>
      <c r="R36" s="3">
        <v>69.0</v>
      </c>
      <c r="S36" s="1" t="s">
        <v>252</v>
      </c>
      <c r="T36" s="1" t="s">
        <v>148</v>
      </c>
      <c r="U36" s="1" t="s">
        <v>149</v>
      </c>
      <c r="V36" s="1" t="s">
        <v>55</v>
      </c>
      <c r="W36" s="1" t="s">
        <v>56</v>
      </c>
      <c r="X36" s="1" t="s">
        <v>57</v>
      </c>
      <c r="Y36" s="1" t="s">
        <v>58</v>
      </c>
      <c r="Z36" s="1" t="s">
        <v>59</v>
      </c>
      <c r="AA36" s="3">
        <v>8.0</v>
      </c>
      <c r="AB36" s="1" t="s">
        <v>60</v>
      </c>
      <c r="AC36" s="3">
        <v>33.0</v>
      </c>
      <c r="AD36" s="3">
        <v>33.0</v>
      </c>
      <c r="AE36" s="5">
        <v>0.8848</v>
      </c>
      <c r="AF36" s="3">
        <v>146.0</v>
      </c>
      <c r="AG36" s="3">
        <v>5.0</v>
      </c>
      <c r="AH36" s="3">
        <v>0.0</v>
      </c>
      <c r="AI36" s="3">
        <v>5.0</v>
      </c>
      <c r="AJ36" s="3">
        <v>0.0</v>
      </c>
      <c r="AK36" s="3">
        <v>0.0</v>
      </c>
      <c r="AL36" s="3">
        <v>5.0</v>
      </c>
    </row>
    <row r="37">
      <c r="A37" s="1" t="s">
        <v>38</v>
      </c>
      <c r="B37" s="3">
        <v>40395.0</v>
      </c>
      <c r="C37" s="3" t="s">
        <v>145</v>
      </c>
      <c r="D37" s="3" t="s">
        <v>146</v>
      </c>
      <c r="E37" s="1" t="s">
        <v>41</v>
      </c>
      <c r="F37" s="3">
        <v>11826.0</v>
      </c>
      <c r="G37" s="1" t="s">
        <v>248</v>
      </c>
      <c r="H37" s="4">
        <v>42703.916284722225</v>
      </c>
      <c r="I37" s="1" t="s">
        <v>249</v>
      </c>
      <c r="J37" s="1" t="s">
        <v>85</v>
      </c>
      <c r="K37" s="1" t="s">
        <v>63</v>
      </c>
      <c r="L37" s="1" t="s">
        <v>46</v>
      </c>
      <c r="M37" s="1" t="s">
        <v>250</v>
      </c>
      <c r="O37" s="1" t="s">
        <v>251</v>
      </c>
      <c r="P37" s="3" t="s">
        <v>145</v>
      </c>
      <c r="Q37" s="3" t="s">
        <v>88</v>
      </c>
      <c r="R37" s="3">
        <v>70.0</v>
      </c>
      <c r="S37" s="1" t="s">
        <v>253</v>
      </c>
      <c r="T37" s="1" t="s">
        <v>148</v>
      </c>
      <c r="U37" s="1" t="s">
        <v>149</v>
      </c>
      <c r="V37" s="1" t="s">
        <v>55</v>
      </c>
      <c r="W37" s="1" t="s">
        <v>56</v>
      </c>
      <c r="X37" s="1" t="s">
        <v>57</v>
      </c>
      <c r="Y37" s="1" t="s">
        <v>58</v>
      </c>
      <c r="Z37" s="1" t="s">
        <v>59</v>
      </c>
      <c r="AA37" s="3">
        <v>8.0</v>
      </c>
      <c r="AB37" s="1" t="s">
        <v>60</v>
      </c>
      <c r="AC37" s="3">
        <v>33.0</v>
      </c>
      <c r="AD37" s="3">
        <v>33.0</v>
      </c>
      <c r="AE37" s="5">
        <v>0.8727</v>
      </c>
      <c r="AF37" s="3">
        <v>144.0</v>
      </c>
      <c r="AG37" s="3">
        <v>5.0</v>
      </c>
      <c r="AH37" s="3">
        <v>0.0</v>
      </c>
      <c r="AI37" s="3">
        <v>5.0</v>
      </c>
      <c r="AJ37" s="3">
        <v>0.0</v>
      </c>
      <c r="AK37" s="3">
        <v>0.0</v>
      </c>
      <c r="AL37" s="3">
        <v>5.0</v>
      </c>
    </row>
    <row r="38">
      <c r="A38" s="1" t="s">
        <v>38</v>
      </c>
      <c r="B38" s="3">
        <v>40299.0</v>
      </c>
      <c r="C38" s="6">
        <v>46026.0</v>
      </c>
      <c r="D38" s="3" t="s">
        <v>40</v>
      </c>
      <c r="E38" s="1" t="s">
        <v>41</v>
      </c>
      <c r="F38" s="3">
        <v>73012.0</v>
      </c>
      <c r="G38" s="1" t="s">
        <v>254</v>
      </c>
      <c r="H38" s="4">
        <v>45449.797685185185</v>
      </c>
      <c r="I38" s="1" t="s">
        <v>255</v>
      </c>
      <c r="J38" s="1" t="s">
        <v>151</v>
      </c>
      <c r="K38" s="1" t="s">
        <v>152</v>
      </c>
      <c r="L38" s="1" t="s">
        <v>46</v>
      </c>
      <c r="M38" s="1" t="s">
        <v>47</v>
      </c>
      <c r="N38" s="1" t="s">
        <v>134</v>
      </c>
      <c r="O38" s="1" t="s">
        <v>256</v>
      </c>
      <c r="P38" s="3" t="s">
        <v>127</v>
      </c>
      <c r="Q38" s="3" t="s">
        <v>51</v>
      </c>
      <c r="R38" s="3">
        <v>1778.0</v>
      </c>
      <c r="S38" s="1" t="s">
        <v>136</v>
      </c>
      <c r="T38" s="1" t="s">
        <v>53</v>
      </c>
      <c r="U38" s="1" t="s">
        <v>70</v>
      </c>
      <c r="V38" s="1" t="s">
        <v>71</v>
      </c>
      <c r="W38" s="1" t="s">
        <v>56</v>
      </c>
      <c r="X38" s="1" t="s">
        <v>72</v>
      </c>
      <c r="Y38" s="1" t="s">
        <v>58</v>
      </c>
      <c r="Z38" s="1" t="s">
        <v>59</v>
      </c>
      <c r="AA38" s="3">
        <v>7.0</v>
      </c>
      <c r="AB38" s="1" t="s">
        <v>257</v>
      </c>
      <c r="AC38" s="3">
        <v>36.0</v>
      </c>
      <c r="AD38" s="3">
        <v>36.0</v>
      </c>
      <c r="AE38" s="5">
        <v>0.6042</v>
      </c>
      <c r="AF38" s="3">
        <v>87.0</v>
      </c>
      <c r="AG38" s="3">
        <v>4.0</v>
      </c>
      <c r="AH38" s="3">
        <v>0.0</v>
      </c>
      <c r="AI38" s="3">
        <v>4.0</v>
      </c>
      <c r="AJ38" s="3">
        <v>0.0</v>
      </c>
      <c r="AK38" s="3">
        <v>0.0</v>
      </c>
      <c r="AL38" s="3">
        <v>4.0</v>
      </c>
    </row>
    <row r="39">
      <c r="A39" s="1" t="s">
        <v>38</v>
      </c>
      <c r="B39" s="3">
        <v>40215.0</v>
      </c>
      <c r="C39" s="6">
        <v>46026.0</v>
      </c>
      <c r="D39" s="3" t="s">
        <v>83</v>
      </c>
      <c r="E39" s="1" t="s">
        <v>41</v>
      </c>
      <c r="F39" s="3">
        <v>76008.0</v>
      </c>
      <c r="G39" s="1" t="s">
        <v>258</v>
      </c>
      <c r="H39" s="4">
        <v>45527.47420138889</v>
      </c>
      <c r="I39" s="1" t="s">
        <v>43</v>
      </c>
      <c r="J39" s="1" t="s">
        <v>151</v>
      </c>
      <c r="K39" s="1" t="s">
        <v>152</v>
      </c>
      <c r="L39" s="1" t="s">
        <v>46</v>
      </c>
      <c r="M39" s="1" t="s">
        <v>47</v>
      </c>
      <c r="N39" s="1" t="s">
        <v>259</v>
      </c>
      <c r="O39" s="1" t="s">
        <v>260</v>
      </c>
      <c r="P39" s="6">
        <v>46057.0</v>
      </c>
      <c r="Q39" s="3" t="s">
        <v>51</v>
      </c>
      <c r="R39" s="3">
        <v>1984.0</v>
      </c>
      <c r="S39" s="1" t="s">
        <v>89</v>
      </c>
      <c r="T39" s="1" t="s">
        <v>90</v>
      </c>
      <c r="U39" s="1" t="s">
        <v>91</v>
      </c>
      <c r="V39" s="1" t="s">
        <v>92</v>
      </c>
      <c r="W39" s="1" t="s">
        <v>93</v>
      </c>
      <c r="X39" s="1" t="s">
        <v>57</v>
      </c>
      <c r="Y39" s="1" t="s">
        <v>58</v>
      </c>
      <c r="Z39" s="1" t="s">
        <v>59</v>
      </c>
      <c r="AA39" s="3">
        <v>5.0</v>
      </c>
      <c r="AB39" s="1" t="s">
        <v>94</v>
      </c>
      <c r="AC39" s="3">
        <v>6.0</v>
      </c>
      <c r="AD39" s="3">
        <v>6.0</v>
      </c>
      <c r="AE39" s="5">
        <v>0.881</v>
      </c>
      <c r="AF39" s="3">
        <v>37.0</v>
      </c>
      <c r="AG39" s="3">
        <v>8.0</v>
      </c>
      <c r="AH39" s="3">
        <v>0.0</v>
      </c>
      <c r="AI39" s="3">
        <v>7.0</v>
      </c>
      <c r="AJ39" s="3">
        <v>0.0</v>
      </c>
      <c r="AK39" s="3">
        <v>1.0</v>
      </c>
      <c r="AL39" s="3">
        <v>7.0</v>
      </c>
    </row>
    <row r="40">
      <c r="A40" s="1" t="s">
        <v>38</v>
      </c>
      <c r="B40" s="3">
        <v>40277.0</v>
      </c>
      <c r="C40" s="6">
        <v>46026.0</v>
      </c>
      <c r="D40" s="3" t="s">
        <v>40</v>
      </c>
      <c r="E40" s="1" t="s">
        <v>41</v>
      </c>
      <c r="F40" s="3">
        <v>76484.0</v>
      </c>
      <c r="G40" s="1" t="s">
        <v>261</v>
      </c>
      <c r="H40" s="4">
        <v>45545.845555555556</v>
      </c>
      <c r="I40" s="1" t="s">
        <v>43</v>
      </c>
      <c r="J40" s="1" t="s">
        <v>262</v>
      </c>
      <c r="K40" s="1" t="s">
        <v>262</v>
      </c>
      <c r="L40" s="1" t="s">
        <v>263</v>
      </c>
      <c r="M40" s="1" t="s">
        <v>264</v>
      </c>
      <c r="N40" s="1" t="s">
        <v>183</v>
      </c>
      <c r="O40" s="1" t="s">
        <v>265</v>
      </c>
      <c r="P40" s="3" t="s">
        <v>127</v>
      </c>
      <c r="Q40" s="3" t="s">
        <v>51</v>
      </c>
      <c r="R40" s="3">
        <v>1792.0</v>
      </c>
      <c r="S40" s="1" t="s">
        <v>266</v>
      </c>
      <c r="T40" s="1" t="s">
        <v>53</v>
      </c>
      <c r="U40" s="1" t="s">
        <v>81</v>
      </c>
      <c r="V40" s="1" t="s">
        <v>71</v>
      </c>
      <c r="W40" s="1" t="s">
        <v>56</v>
      </c>
      <c r="X40" s="1" t="s">
        <v>72</v>
      </c>
      <c r="Y40" s="1" t="s">
        <v>58</v>
      </c>
      <c r="Z40" s="1" t="s">
        <v>59</v>
      </c>
      <c r="AA40" s="3">
        <v>6.0</v>
      </c>
      <c r="AB40" s="1" t="s">
        <v>60</v>
      </c>
      <c r="AC40" s="3">
        <v>11.0</v>
      </c>
      <c r="AD40" s="3">
        <v>11.0</v>
      </c>
      <c r="AE40" s="5">
        <v>0.4545</v>
      </c>
      <c r="AF40" s="3">
        <v>20.0</v>
      </c>
      <c r="AG40" s="3">
        <v>4.0</v>
      </c>
      <c r="AH40" s="3">
        <v>0.0</v>
      </c>
      <c r="AI40" s="3">
        <v>4.0</v>
      </c>
      <c r="AJ40" s="3">
        <v>0.0</v>
      </c>
      <c r="AK40" s="3">
        <v>0.0</v>
      </c>
      <c r="AL40" s="3">
        <v>4.0</v>
      </c>
    </row>
    <row r="41">
      <c r="A41" s="1" t="s">
        <v>38</v>
      </c>
      <c r="B41" s="3">
        <v>40220.0</v>
      </c>
      <c r="C41" s="6">
        <v>46026.0</v>
      </c>
      <c r="D41" s="3" t="s">
        <v>83</v>
      </c>
      <c r="E41" s="1" t="s">
        <v>41</v>
      </c>
      <c r="F41" s="3">
        <v>81798.0</v>
      </c>
      <c r="G41" s="1" t="s">
        <v>267</v>
      </c>
      <c r="H41" s="4">
        <v>45818.03192129629</v>
      </c>
      <c r="I41" s="1" t="s">
        <v>43</v>
      </c>
      <c r="J41" s="1" t="s">
        <v>268</v>
      </c>
      <c r="K41" s="1" t="s">
        <v>118</v>
      </c>
      <c r="L41" s="1" t="s">
        <v>46</v>
      </c>
      <c r="M41" s="1" t="s">
        <v>64</v>
      </c>
      <c r="N41" s="1" t="s">
        <v>65</v>
      </c>
      <c r="O41" s="1" t="s">
        <v>269</v>
      </c>
      <c r="P41" s="6">
        <v>46177.0</v>
      </c>
      <c r="Q41" s="3" t="s">
        <v>51</v>
      </c>
      <c r="R41" s="3">
        <v>1984.0</v>
      </c>
      <c r="S41" s="1" t="s">
        <v>89</v>
      </c>
      <c r="T41" s="1" t="s">
        <v>90</v>
      </c>
      <c r="U41" s="1" t="s">
        <v>91</v>
      </c>
      <c r="V41" s="1" t="s">
        <v>92</v>
      </c>
      <c r="W41" s="1" t="s">
        <v>93</v>
      </c>
      <c r="X41" s="1" t="s">
        <v>57</v>
      </c>
      <c r="Y41" s="1" t="s">
        <v>58</v>
      </c>
      <c r="Z41" s="1" t="s">
        <v>59</v>
      </c>
      <c r="AA41" s="3">
        <v>8.0</v>
      </c>
      <c r="AB41" s="1" t="s">
        <v>144</v>
      </c>
      <c r="AC41" s="3">
        <v>9.0</v>
      </c>
      <c r="AD41" s="3">
        <v>9.0</v>
      </c>
      <c r="AE41" s="5">
        <v>0.8148</v>
      </c>
      <c r="AF41" s="3">
        <v>44.0</v>
      </c>
      <c r="AG41" s="3">
        <v>8.0</v>
      </c>
      <c r="AH41" s="3">
        <v>0.0</v>
      </c>
      <c r="AI41" s="3">
        <v>6.0</v>
      </c>
      <c r="AJ41" s="3">
        <v>0.0</v>
      </c>
      <c r="AK41" s="3">
        <v>2.0</v>
      </c>
      <c r="AL41" s="3">
        <v>6.0</v>
      </c>
    </row>
    <row r="42">
      <c r="A42" s="1" t="s">
        <v>38</v>
      </c>
      <c r="B42" s="3">
        <v>40329.0</v>
      </c>
      <c r="C42" s="6">
        <v>46026.0</v>
      </c>
      <c r="D42" s="3" t="s">
        <v>40</v>
      </c>
      <c r="E42" s="1" t="s">
        <v>41</v>
      </c>
      <c r="F42" s="3">
        <v>89739.0</v>
      </c>
      <c r="G42" s="1" t="s">
        <v>270</v>
      </c>
      <c r="H42" s="4">
        <v>46134.53083333333</v>
      </c>
      <c r="I42" s="1" t="s">
        <v>133</v>
      </c>
      <c r="J42" s="1" t="s">
        <v>97</v>
      </c>
      <c r="K42" s="1" t="s">
        <v>63</v>
      </c>
      <c r="L42" s="1" t="s">
        <v>46</v>
      </c>
      <c r="M42" s="1" t="s">
        <v>47</v>
      </c>
      <c r="N42" s="1" t="s">
        <v>271</v>
      </c>
      <c r="O42" s="1" t="s">
        <v>272</v>
      </c>
      <c r="P42" s="3" t="s">
        <v>51</v>
      </c>
      <c r="Q42" s="3" t="s">
        <v>51</v>
      </c>
      <c r="R42" s="3">
        <v>1782.0</v>
      </c>
      <c r="S42" s="1" t="s">
        <v>273</v>
      </c>
      <c r="T42" s="1" t="s">
        <v>53</v>
      </c>
      <c r="U42" s="1" t="s">
        <v>70</v>
      </c>
      <c r="V42" s="1" t="s">
        <v>71</v>
      </c>
      <c r="W42" s="1" t="s">
        <v>56</v>
      </c>
      <c r="X42" s="1" t="s">
        <v>72</v>
      </c>
      <c r="Y42" s="1" t="s">
        <v>58</v>
      </c>
      <c r="Z42" s="1" t="s">
        <v>59</v>
      </c>
      <c r="AA42" s="3">
        <v>6.0</v>
      </c>
      <c r="AB42" s="1" t="s">
        <v>60</v>
      </c>
      <c r="AC42" s="3">
        <v>22.0</v>
      </c>
      <c r="AD42" s="3">
        <v>22.0</v>
      </c>
      <c r="AE42" s="5">
        <v>0.5909</v>
      </c>
      <c r="AF42" s="3">
        <v>13.0</v>
      </c>
      <c r="AG42" s="3">
        <v>1.0</v>
      </c>
      <c r="AH42" s="3">
        <v>0.0</v>
      </c>
      <c r="AI42" s="3">
        <v>1.0</v>
      </c>
      <c r="AJ42" s="3">
        <v>0.0</v>
      </c>
      <c r="AK42" s="3">
        <v>0.0</v>
      </c>
      <c r="AL42" s="3">
        <v>1.0</v>
      </c>
    </row>
    <row r="43">
      <c r="A43" s="1" t="s">
        <v>38</v>
      </c>
      <c r="B43" s="3">
        <v>40264.0</v>
      </c>
      <c r="C43" s="6">
        <v>46026.0</v>
      </c>
      <c r="D43" s="3" t="s">
        <v>40</v>
      </c>
      <c r="E43" s="1" t="s">
        <v>41</v>
      </c>
      <c r="F43" s="3">
        <v>87570.0</v>
      </c>
      <c r="G43" s="1" t="s">
        <v>274</v>
      </c>
      <c r="H43" s="4">
        <v>46009.63891203704</v>
      </c>
      <c r="I43" s="1" t="s">
        <v>43</v>
      </c>
      <c r="J43" s="1" t="s">
        <v>275</v>
      </c>
      <c r="K43" s="1" t="s">
        <v>241</v>
      </c>
      <c r="L43" s="1" t="s">
        <v>46</v>
      </c>
      <c r="M43" s="1" t="s">
        <v>105</v>
      </c>
      <c r="N43" s="1" t="s">
        <v>125</v>
      </c>
      <c r="O43" s="1" t="s">
        <v>276</v>
      </c>
      <c r="P43" s="3" t="s">
        <v>178</v>
      </c>
      <c r="Q43" s="3" t="s">
        <v>51</v>
      </c>
      <c r="R43" s="3">
        <v>1790.0</v>
      </c>
      <c r="S43" s="1" t="s">
        <v>206</v>
      </c>
      <c r="T43" s="1" t="s">
        <v>53</v>
      </c>
      <c r="U43" s="1" t="s">
        <v>70</v>
      </c>
      <c r="V43" s="1" t="s">
        <v>71</v>
      </c>
      <c r="W43" s="1" t="s">
        <v>56</v>
      </c>
      <c r="X43" s="1" t="s">
        <v>72</v>
      </c>
      <c r="Y43" s="1" t="s">
        <v>58</v>
      </c>
      <c r="Z43" s="1" t="s">
        <v>59</v>
      </c>
      <c r="AA43" s="3">
        <v>8.0</v>
      </c>
      <c r="AB43" s="1" t="s">
        <v>82</v>
      </c>
      <c r="AC43" s="3">
        <v>27.0</v>
      </c>
      <c r="AD43" s="3">
        <v>27.0</v>
      </c>
      <c r="AE43" s="5">
        <v>0.6852</v>
      </c>
      <c r="AF43" s="3">
        <v>111.0</v>
      </c>
      <c r="AG43" s="3">
        <v>6.0</v>
      </c>
      <c r="AH43" s="3">
        <v>0.0</v>
      </c>
      <c r="AI43" s="3">
        <v>6.0</v>
      </c>
      <c r="AJ43" s="3">
        <v>0.0</v>
      </c>
      <c r="AK43" s="3">
        <v>0.0</v>
      </c>
      <c r="AL43" s="3">
        <v>6.0</v>
      </c>
    </row>
    <row r="44">
      <c r="A44" s="1" t="s">
        <v>38</v>
      </c>
      <c r="B44" s="3">
        <v>40238.0</v>
      </c>
      <c r="C44" s="6">
        <v>46026.0</v>
      </c>
      <c r="D44" s="3" t="s">
        <v>40</v>
      </c>
      <c r="E44" s="1" t="s">
        <v>41</v>
      </c>
      <c r="F44" s="3">
        <v>81637.0</v>
      </c>
      <c r="G44" s="1" t="s">
        <v>277</v>
      </c>
      <c r="H44" s="4">
        <v>45809.55028935185</v>
      </c>
      <c r="I44" s="1" t="s">
        <v>43</v>
      </c>
      <c r="J44" s="1" t="s">
        <v>278</v>
      </c>
      <c r="K44" s="1" t="s">
        <v>279</v>
      </c>
      <c r="L44" s="1" t="s">
        <v>280</v>
      </c>
      <c r="M44" s="1" t="s">
        <v>64</v>
      </c>
      <c r="N44" s="1" t="s">
        <v>125</v>
      </c>
      <c r="O44" s="1" t="s">
        <v>281</v>
      </c>
      <c r="P44" s="3" t="s">
        <v>178</v>
      </c>
      <c r="Q44" s="3" t="s">
        <v>51</v>
      </c>
      <c r="R44" s="3">
        <v>1774.0</v>
      </c>
      <c r="S44" s="1" t="s">
        <v>108</v>
      </c>
      <c r="T44" s="1" t="s">
        <v>53</v>
      </c>
      <c r="U44" s="1" t="s">
        <v>81</v>
      </c>
      <c r="V44" s="1" t="s">
        <v>71</v>
      </c>
      <c r="W44" s="1" t="s">
        <v>56</v>
      </c>
      <c r="X44" s="1" t="s">
        <v>72</v>
      </c>
      <c r="Y44" s="1" t="s">
        <v>58</v>
      </c>
      <c r="Z44" s="1" t="s">
        <v>59</v>
      </c>
      <c r="AA44" s="3">
        <v>7.0</v>
      </c>
      <c r="AB44" s="1" t="s">
        <v>60</v>
      </c>
      <c r="AC44" s="3">
        <v>22.0</v>
      </c>
      <c r="AD44" s="3">
        <v>22.0</v>
      </c>
      <c r="AE44" s="5">
        <v>0.947</v>
      </c>
      <c r="AF44" s="3">
        <v>125.0</v>
      </c>
      <c r="AG44" s="3">
        <v>6.0</v>
      </c>
      <c r="AH44" s="3">
        <v>0.0</v>
      </c>
      <c r="AI44" s="3">
        <v>6.0</v>
      </c>
      <c r="AJ44" s="3">
        <v>0.0</v>
      </c>
      <c r="AK44" s="3">
        <v>0.0</v>
      </c>
      <c r="AL44" s="3">
        <v>6.0</v>
      </c>
    </row>
    <row r="45">
      <c r="A45" s="1" t="s">
        <v>38</v>
      </c>
      <c r="B45" s="3">
        <v>40311.0</v>
      </c>
      <c r="C45" s="6">
        <v>46299.0</v>
      </c>
      <c r="D45" s="3" t="s">
        <v>95</v>
      </c>
      <c r="E45" s="1" t="s">
        <v>41</v>
      </c>
      <c r="F45" s="3">
        <v>83813.0</v>
      </c>
      <c r="G45" s="1" t="s">
        <v>282</v>
      </c>
      <c r="H45" s="4">
        <v>45855.200844907406</v>
      </c>
      <c r="I45" s="1" t="s">
        <v>283</v>
      </c>
      <c r="J45" s="1" t="s">
        <v>284</v>
      </c>
      <c r="K45" s="1" t="s">
        <v>285</v>
      </c>
      <c r="L45" s="1" t="s">
        <v>46</v>
      </c>
      <c r="M45" s="1" t="s">
        <v>47</v>
      </c>
      <c r="N45" s="1" t="s">
        <v>286</v>
      </c>
      <c r="O45" s="1" t="s">
        <v>287</v>
      </c>
      <c r="P45" s="3" t="s">
        <v>193</v>
      </c>
      <c r="Q45" s="3" t="s">
        <v>51</v>
      </c>
      <c r="R45" s="3">
        <v>1986.0</v>
      </c>
      <c r="S45" s="1" t="s">
        <v>129</v>
      </c>
      <c r="T45" s="1" t="s">
        <v>53</v>
      </c>
      <c r="U45" s="1" t="s">
        <v>81</v>
      </c>
      <c r="V45" s="1" t="s">
        <v>130</v>
      </c>
      <c r="W45" s="1" t="s">
        <v>56</v>
      </c>
      <c r="X45" s="1" t="s">
        <v>57</v>
      </c>
      <c r="Y45" s="1" t="s">
        <v>58</v>
      </c>
      <c r="Z45" s="1" t="s">
        <v>59</v>
      </c>
      <c r="AA45" s="3">
        <v>8.0</v>
      </c>
      <c r="AB45" s="1" t="s">
        <v>131</v>
      </c>
      <c r="AC45" s="3">
        <v>34.0</v>
      </c>
      <c r="AD45" s="3">
        <v>34.0</v>
      </c>
      <c r="AE45" s="5">
        <v>0.7754</v>
      </c>
      <c r="AF45" s="3">
        <v>107.0</v>
      </c>
      <c r="AG45" s="3">
        <v>4.0</v>
      </c>
      <c r="AH45" s="3">
        <v>0.0</v>
      </c>
      <c r="AI45" s="3">
        <v>3.0</v>
      </c>
      <c r="AJ45" s="3">
        <v>1.0</v>
      </c>
      <c r="AK45" s="3">
        <v>0.0</v>
      </c>
      <c r="AL45" s="3">
        <v>4.0</v>
      </c>
    </row>
    <row r="46">
      <c r="A46" s="1" t="s">
        <v>38</v>
      </c>
      <c r="B46" s="3">
        <v>40223.0</v>
      </c>
      <c r="C46" s="6">
        <v>46026.0</v>
      </c>
      <c r="D46" s="3" t="s">
        <v>40</v>
      </c>
      <c r="E46" s="1" t="s">
        <v>41</v>
      </c>
      <c r="F46" s="3">
        <v>89611.0</v>
      </c>
      <c r="G46" s="1" t="s">
        <v>288</v>
      </c>
      <c r="H46" s="4">
        <v>46128.88277777778</v>
      </c>
      <c r="I46" s="1" t="s">
        <v>43</v>
      </c>
      <c r="J46" s="1" t="s">
        <v>284</v>
      </c>
      <c r="K46" s="1" t="s">
        <v>285</v>
      </c>
      <c r="L46" s="1" t="s">
        <v>46</v>
      </c>
      <c r="M46" s="1" t="s">
        <v>64</v>
      </c>
      <c r="N46" s="1" t="s">
        <v>125</v>
      </c>
      <c r="O46" s="1" t="s">
        <v>289</v>
      </c>
      <c r="P46" s="3" t="s">
        <v>100</v>
      </c>
      <c r="Q46" s="3" t="s">
        <v>88</v>
      </c>
      <c r="R46" s="3">
        <v>1775.0</v>
      </c>
      <c r="S46" s="1" t="s">
        <v>290</v>
      </c>
      <c r="T46" s="1" t="s">
        <v>53</v>
      </c>
      <c r="U46" s="1" t="s">
        <v>81</v>
      </c>
      <c r="V46" s="1" t="s">
        <v>71</v>
      </c>
      <c r="W46" s="1" t="s">
        <v>56</v>
      </c>
      <c r="X46" s="1" t="s">
        <v>72</v>
      </c>
      <c r="Y46" s="1" t="s">
        <v>58</v>
      </c>
      <c r="Z46" s="1" t="s">
        <v>59</v>
      </c>
      <c r="AA46" s="3">
        <v>6.0</v>
      </c>
      <c r="AB46" s="1" t="s">
        <v>82</v>
      </c>
      <c r="AC46" s="3">
        <v>22.0</v>
      </c>
      <c r="AD46" s="3">
        <v>22.0</v>
      </c>
      <c r="AE46" s="5">
        <v>0.9318</v>
      </c>
      <c r="AF46" s="3">
        <v>41.0</v>
      </c>
      <c r="AG46" s="3">
        <v>2.0</v>
      </c>
      <c r="AH46" s="3">
        <v>0.0</v>
      </c>
      <c r="AI46" s="3">
        <v>2.0</v>
      </c>
      <c r="AJ46" s="3">
        <v>0.0</v>
      </c>
      <c r="AK46" s="3">
        <v>0.0</v>
      </c>
      <c r="AL46" s="3">
        <v>2.0</v>
      </c>
    </row>
    <row r="47">
      <c r="A47" s="1" t="s">
        <v>38</v>
      </c>
      <c r="B47" s="3">
        <v>40217.0</v>
      </c>
      <c r="C47" s="6">
        <v>46026.0</v>
      </c>
      <c r="D47" s="3" t="s">
        <v>83</v>
      </c>
      <c r="E47" s="1" t="s">
        <v>137</v>
      </c>
      <c r="F47" s="3">
        <v>89118.0</v>
      </c>
      <c r="G47" s="1" t="s">
        <v>291</v>
      </c>
      <c r="H47" s="4">
        <v>46099.13033564815</v>
      </c>
      <c r="I47" s="1" t="s">
        <v>43</v>
      </c>
      <c r="J47" s="1" t="s">
        <v>292</v>
      </c>
      <c r="K47" s="1" t="s">
        <v>293</v>
      </c>
      <c r="L47" s="1" t="s">
        <v>294</v>
      </c>
      <c r="M47" s="1" t="s">
        <v>77</v>
      </c>
      <c r="N47" s="1" t="s">
        <v>295</v>
      </c>
      <c r="O47" s="1" t="s">
        <v>296</v>
      </c>
      <c r="P47" s="6">
        <v>46207.0</v>
      </c>
      <c r="Q47" s="3" t="s">
        <v>51</v>
      </c>
      <c r="R47" s="3">
        <v>1984.0</v>
      </c>
      <c r="S47" s="1" t="s">
        <v>89</v>
      </c>
      <c r="T47" s="1" t="s">
        <v>90</v>
      </c>
      <c r="U47" s="1" t="s">
        <v>91</v>
      </c>
      <c r="V47" s="1" t="s">
        <v>92</v>
      </c>
      <c r="W47" s="1" t="s">
        <v>93</v>
      </c>
      <c r="X47" s="1" t="s">
        <v>57</v>
      </c>
      <c r="Y47" s="1" t="s">
        <v>58</v>
      </c>
      <c r="Z47" s="1" t="s">
        <v>59</v>
      </c>
      <c r="AA47" s="3">
        <v>6.0</v>
      </c>
      <c r="AB47" s="1" t="s">
        <v>94</v>
      </c>
      <c r="AC47" s="3">
        <v>13.0</v>
      </c>
      <c r="AD47" s="3">
        <v>13.0</v>
      </c>
      <c r="AE47" s="5">
        <v>0.9231</v>
      </c>
      <c r="AF47" s="3">
        <v>60.0</v>
      </c>
      <c r="AG47" s="3">
        <v>7.0</v>
      </c>
      <c r="AH47" s="3">
        <v>0.0</v>
      </c>
      <c r="AI47" s="3">
        <v>5.0</v>
      </c>
      <c r="AJ47" s="3">
        <v>0.0</v>
      </c>
      <c r="AK47" s="3">
        <v>2.0</v>
      </c>
      <c r="AL47" s="3">
        <v>5.0</v>
      </c>
    </row>
    <row r="48">
      <c r="A48" s="1" t="s">
        <v>38</v>
      </c>
      <c r="B48" s="3">
        <v>40214.0</v>
      </c>
      <c r="C48" s="6">
        <v>46026.0</v>
      </c>
      <c r="D48" s="3" t="s">
        <v>83</v>
      </c>
      <c r="E48" s="1" t="s">
        <v>41</v>
      </c>
      <c r="F48" s="3">
        <v>19021.0</v>
      </c>
      <c r="G48" s="1" t="s">
        <v>297</v>
      </c>
      <c r="H48" s="4">
        <v>42970.135671296295</v>
      </c>
      <c r="I48" s="1" t="s">
        <v>59</v>
      </c>
      <c r="J48" s="1" t="s">
        <v>103</v>
      </c>
      <c r="K48" s="1" t="s">
        <v>104</v>
      </c>
      <c r="L48" s="1" t="s">
        <v>46</v>
      </c>
      <c r="M48" s="1" t="s">
        <v>250</v>
      </c>
      <c r="O48" s="1" t="s">
        <v>298</v>
      </c>
      <c r="P48" s="6">
        <v>46238.0</v>
      </c>
      <c r="Q48" s="3" t="s">
        <v>88</v>
      </c>
      <c r="R48" s="3">
        <v>1984.0</v>
      </c>
      <c r="S48" s="1" t="s">
        <v>89</v>
      </c>
      <c r="T48" s="1" t="s">
        <v>90</v>
      </c>
      <c r="U48" s="1" t="s">
        <v>91</v>
      </c>
      <c r="V48" s="1" t="s">
        <v>92</v>
      </c>
      <c r="W48" s="1" t="s">
        <v>93</v>
      </c>
      <c r="X48" s="1" t="s">
        <v>57</v>
      </c>
      <c r="Y48" s="1" t="s">
        <v>58</v>
      </c>
      <c r="Z48" s="1" t="s">
        <v>59</v>
      </c>
      <c r="AA48" s="3">
        <v>5.0</v>
      </c>
      <c r="AB48" s="1" t="s">
        <v>144</v>
      </c>
      <c r="AC48" s="3">
        <v>6.0</v>
      </c>
      <c r="AD48" s="3">
        <v>6.0</v>
      </c>
      <c r="AE48" s="5">
        <v>0.26</v>
      </c>
      <c r="AF48" s="3">
        <v>26.0</v>
      </c>
      <c r="AG48" s="3">
        <v>7.0</v>
      </c>
      <c r="AH48" s="3">
        <v>0.0</v>
      </c>
      <c r="AI48" s="3">
        <v>5.0</v>
      </c>
      <c r="AJ48" s="3">
        <v>0.0</v>
      </c>
      <c r="AK48" s="3">
        <v>2.0</v>
      </c>
      <c r="AL48" s="3">
        <v>5.0</v>
      </c>
    </row>
    <row r="49">
      <c r="A49" s="1" t="s">
        <v>38</v>
      </c>
      <c r="B49" s="3">
        <v>40231.0</v>
      </c>
      <c r="C49" s="6">
        <v>46299.0</v>
      </c>
      <c r="D49" s="3" t="s">
        <v>83</v>
      </c>
      <c r="E49" s="1" t="s">
        <v>41</v>
      </c>
      <c r="F49" s="3">
        <v>19021.0</v>
      </c>
      <c r="G49" s="1" t="s">
        <v>297</v>
      </c>
      <c r="H49" s="4">
        <v>42970.135671296295</v>
      </c>
      <c r="I49" s="1" t="s">
        <v>59</v>
      </c>
      <c r="J49" s="1" t="s">
        <v>103</v>
      </c>
      <c r="K49" s="1" t="s">
        <v>104</v>
      </c>
      <c r="L49" s="1" t="s">
        <v>46</v>
      </c>
      <c r="M49" s="1" t="s">
        <v>250</v>
      </c>
      <c r="O49" s="1" t="s">
        <v>298</v>
      </c>
      <c r="P49" s="3" t="s">
        <v>127</v>
      </c>
      <c r="Q49" s="3" t="s">
        <v>88</v>
      </c>
      <c r="R49" s="3">
        <v>1758.0</v>
      </c>
      <c r="S49" s="1" t="s">
        <v>185</v>
      </c>
      <c r="T49" s="1" t="s">
        <v>186</v>
      </c>
      <c r="U49" s="1" t="s">
        <v>187</v>
      </c>
      <c r="V49" s="1" t="s">
        <v>92</v>
      </c>
      <c r="W49" s="1" t="s">
        <v>93</v>
      </c>
      <c r="X49" s="1" t="s">
        <v>57</v>
      </c>
      <c r="Y49" s="1" t="s">
        <v>58</v>
      </c>
      <c r="Z49" s="1" t="s">
        <v>59</v>
      </c>
      <c r="AA49" s="3">
        <v>7.0</v>
      </c>
      <c r="AB49" s="1" t="s">
        <v>188</v>
      </c>
      <c r="AC49" s="3">
        <v>10.0</v>
      </c>
      <c r="AD49" s="3">
        <v>10.0</v>
      </c>
      <c r="AE49" s="5">
        <v>1.0</v>
      </c>
      <c r="AF49" s="3">
        <v>30.0</v>
      </c>
      <c r="AG49" s="3">
        <v>4.0</v>
      </c>
      <c r="AH49" s="3">
        <v>0.0</v>
      </c>
      <c r="AI49" s="3">
        <v>3.0</v>
      </c>
      <c r="AJ49" s="3">
        <v>0.0</v>
      </c>
      <c r="AK49" s="3">
        <v>1.0</v>
      </c>
      <c r="AL49" s="3">
        <v>3.0</v>
      </c>
    </row>
    <row r="50">
      <c r="A50" s="1" t="s">
        <v>38</v>
      </c>
      <c r="B50" s="3">
        <v>40422.0</v>
      </c>
      <c r="C50" s="3" t="s">
        <v>145</v>
      </c>
      <c r="D50" s="3" t="s">
        <v>146</v>
      </c>
      <c r="E50" s="1" t="s">
        <v>41</v>
      </c>
      <c r="F50" s="3">
        <v>76584.0</v>
      </c>
      <c r="G50" s="1" t="s">
        <v>299</v>
      </c>
      <c r="H50" s="4">
        <v>45549.83494212963</v>
      </c>
      <c r="I50" s="1" t="s">
        <v>43</v>
      </c>
      <c r="J50" s="1" t="s">
        <v>85</v>
      </c>
      <c r="K50" s="1" t="s">
        <v>63</v>
      </c>
      <c r="L50" s="1" t="s">
        <v>46</v>
      </c>
      <c r="M50" s="1" t="s">
        <v>236</v>
      </c>
      <c r="N50" s="1" t="s">
        <v>300</v>
      </c>
      <c r="O50" s="1" t="s">
        <v>301</v>
      </c>
      <c r="P50" s="3" t="s">
        <v>113</v>
      </c>
      <c r="Q50" s="3" t="s">
        <v>51</v>
      </c>
      <c r="R50" s="3">
        <v>120.0</v>
      </c>
      <c r="S50" s="1" t="s">
        <v>156</v>
      </c>
      <c r="T50" s="1" t="s">
        <v>148</v>
      </c>
      <c r="U50" s="1" t="s">
        <v>157</v>
      </c>
      <c r="V50" s="1" t="s">
        <v>55</v>
      </c>
      <c r="W50" s="1" t="s">
        <v>56</v>
      </c>
      <c r="X50" s="1" t="s">
        <v>57</v>
      </c>
      <c r="Y50" s="1" t="s">
        <v>58</v>
      </c>
      <c r="Z50" s="1" t="s">
        <v>59</v>
      </c>
      <c r="AA50" s="3">
        <v>8.0</v>
      </c>
      <c r="AB50" s="1" t="s">
        <v>60</v>
      </c>
      <c r="AC50" s="3">
        <v>35.0</v>
      </c>
      <c r="AD50" s="3">
        <v>35.0</v>
      </c>
      <c r="AE50" s="5">
        <v>1.0</v>
      </c>
      <c r="AF50" s="3">
        <v>175.0</v>
      </c>
      <c r="AG50" s="3">
        <v>5.0</v>
      </c>
      <c r="AH50" s="3">
        <v>0.0</v>
      </c>
      <c r="AI50" s="3">
        <v>4.0</v>
      </c>
      <c r="AJ50" s="3">
        <v>1.0</v>
      </c>
      <c r="AK50" s="3">
        <v>0.0</v>
      </c>
      <c r="AL50" s="3">
        <v>5.0</v>
      </c>
    </row>
    <row r="51">
      <c r="A51" s="1" t="s">
        <v>38</v>
      </c>
      <c r="B51" s="3">
        <v>40424.0</v>
      </c>
      <c r="C51" s="3" t="s">
        <v>145</v>
      </c>
      <c r="D51" s="3" t="s">
        <v>146</v>
      </c>
      <c r="E51" s="1" t="s">
        <v>41</v>
      </c>
      <c r="F51" s="3">
        <v>76584.0</v>
      </c>
      <c r="G51" s="1" t="s">
        <v>299</v>
      </c>
      <c r="H51" s="4">
        <v>45549.83494212963</v>
      </c>
      <c r="I51" s="1" t="s">
        <v>43</v>
      </c>
      <c r="J51" s="1" t="s">
        <v>85</v>
      </c>
      <c r="K51" s="1" t="s">
        <v>63</v>
      </c>
      <c r="L51" s="1" t="s">
        <v>46</v>
      </c>
      <c r="M51" s="1" t="s">
        <v>236</v>
      </c>
      <c r="N51" s="1" t="s">
        <v>300</v>
      </c>
      <c r="O51" s="1" t="s">
        <v>301</v>
      </c>
      <c r="P51" s="3" t="s">
        <v>113</v>
      </c>
      <c r="Q51" s="3" t="s">
        <v>51</v>
      </c>
      <c r="R51" s="3">
        <v>121.0</v>
      </c>
      <c r="S51" s="1" t="s">
        <v>158</v>
      </c>
      <c r="T51" s="1" t="s">
        <v>148</v>
      </c>
      <c r="U51" s="1" t="s">
        <v>157</v>
      </c>
      <c r="V51" s="1" t="s">
        <v>55</v>
      </c>
      <c r="W51" s="1" t="s">
        <v>56</v>
      </c>
      <c r="X51" s="1" t="s">
        <v>57</v>
      </c>
      <c r="Y51" s="1" t="s">
        <v>58</v>
      </c>
      <c r="Z51" s="1" t="s">
        <v>59</v>
      </c>
      <c r="AA51" s="3">
        <v>8.0</v>
      </c>
      <c r="AB51" s="1" t="s">
        <v>60</v>
      </c>
      <c r="AC51" s="3">
        <v>31.0</v>
      </c>
      <c r="AD51" s="3">
        <v>31.0</v>
      </c>
      <c r="AE51" s="5">
        <v>1.0</v>
      </c>
      <c r="AF51" s="3">
        <v>155.0</v>
      </c>
      <c r="AG51" s="3">
        <v>5.0</v>
      </c>
      <c r="AH51" s="3">
        <v>0.0</v>
      </c>
      <c r="AI51" s="3">
        <v>4.0</v>
      </c>
      <c r="AJ51" s="3">
        <v>1.0</v>
      </c>
      <c r="AK51" s="3">
        <v>0.0</v>
      </c>
      <c r="AL51" s="3">
        <v>5.0</v>
      </c>
    </row>
    <row r="52">
      <c r="A52" s="1" t="s">
        <v>38</v>
      </c>
      <c r="B52" s="3">
        <v>40370.0</v>
      </c>
      <c r="C52" s="3" t="s">
        <v>39</v>
      </c>
      <c r="D52" s="3" t="s">
        <v>40</v>
      </c>
      <c r="E52" s="1" t="s">
        <v>41</v>
      </c>
      <c r="F52" s="3">
        <v>79257.0</v>
      </c>
      <c r="G52" s="1" t="s">
        <v>302</v>
      </c>
      <c r="H52" s="4">
        <v>45647.7368287037</v>
      </c>
      <c r="I52" s="1" t="s">
        <v>303</v>
      </c>
      <c r="J52" s="1" t="s">
        <v>262</v>
      </c>
      <c r="K52" s="1" t="s">
        <v>262</v>
      </c>
      <c r="L52" s="1" t="s">
        <v>263</v>
      </c>
      <c r="M52" s="1" t="s">
        <v>304</v>
      </c>
      <c r="N52" s="1" t="s">
        <v>305</v>
      </c>
      <c r="O52" s="1" t="s">
        <v>306</v>
      </c>
      <c r="P52" s="3" t="s">
        <v>128</v>
      </c>
      <c r="Q52" s="3" t="s">
        <v>51</v>
      </c>
      <c r="R52" s="3">
        <v>1951.0</v>
      </c>
      <c r="S52" s="1" t="s">
        <v>307</v>
      </c>
      <c r="T52" s="1" t="s">
        <v>53</v>
      </c>
      <c r="U52" s="1" t="s">
        <v>54</v>
      </c>
      <c r="V52" s="1" t="s">
        <v>55</v>
      </c>
      <c r="W52" s="1" t="s">
        <v>56</v>
      </c>
      <c r="X52" s="1" t="s">
        <v>57</v>
      </c>
      <c r="Y52" s="1" t="s">
        <v>58</v>
      </c>
      <c r="Z52" s="1" t="s">
        <v>59</v>
      </c>
      <c r="AA52" s="3">
        <v>7.0</v>
      </c>
      <c r="AB52" s="1" t="s">
        <v>60</v>
      </c>
      <c r="AC52" s="3">
        <v>22.0</v>
      </c>
      <c r="AD52" s="3">
        <v>20.0</v>
      </c>
      <c r="AE52" s="5">
        <v>0.825</v>
      </c>
      <c r="AF52" s="3">
        <v>33.0</v>
      </c>
      <c r="AG52" s="3">
        <v>2.0</v>
      </c>
      <c r="AH52" s="3">
        <v>0.0</v>
      </c>
      <c r="AI52" s="3">
        <v>2.0</v>
      </c>
      <c r="AJ52" s="3">
        <v>0.0</v>
      </c>
      <c r="AK52" s="3">
        <v>0.0</v>
      </c>
      <c r="AL52" s="3">
        <v>2.0</v>
      </c>
    </row>
    <row r="53">
      <c r="A53" s="1" t="s">
        <v>38</v>
      </c>
      <c r="B53" s="3">
        <v>40371.0</v>
      </c>
      <c r="C53" s="3" t="s">
        <v>39</v>
      </c>
      <c r="D53" s="3" t="s">
        <v>40</v>
      </c>
      <c r="E53" s="1" t="s">
        <v>41</v>
      </c>
      <c r="F53" s="3">
        <v>79257.0</v>
      </c>
      <c r="G53" s="1" t="s">
        <v>302</v>
      </c>
      <c r="H53" s="4">
        <v>45647.7368287037</v>
      </c>
      <c r="I53" s="1" t="s">
        <v>303</v>
      </c>
      <c r="J53" s="1" t="s">
        <v>262</v>
      </c>
      <c r="K53" s="1" t="s">
        <v>262</v>
      </c>
      <c r="L53" s="1" t="s">
        <v>263</v>
      </c>
      <c r="M53" s="1" t="s">
        <v>304</v>
      </c>
      <c r="N53" s="1" t="s">
        <v>305</v>
      </c>
      <c r="O53" s="1" t="s">
        <v>306</v>
      </c>
      <c r="P53" s="3" t="s">
        <v>145</v>
      </c>
      <c r="Q53" s="3" t="s">
        <v>88</v>
      </c>
      <c r="R53" s="3">
        <v>1951.0</v>
      </c>
      <c r="S53" s="1" t="s">
        <v>307</v>
      </c>
      <c r="T53" s="1" t="s">
        <v>53</v>
      </c>
      <c r="U53" s="1" t="s">
        <v>54</v>
      </c>
      <c r="V53" s="1" t="s">
        <v>55</v>
      </c>
      <c r="W53" s="1" t="s">
        <v>56</v>
      </c>
      <c r="X53" s="1" t="s">
        <v>57</v>
      </c>
      <c r="Y53" s="1" t="s">
        <v>58</v>
      </c>
      <c r="Z53" s="1" t="s">
        <v>59</v>
      </c>
      <c r="AA53" s="3">
        <v>8.0</v>
      </c>
      <c r="AB53" s="1" t="s">
        <v>60</v>
      </c>
      <c r="AC53" s="3">
        <v>22.0</v>
      </c>
      <c r="AD53" s="3">
        <v>21.0</v>
      </c>
      <c r="AE53" s="5">
        <v>0.7368</v>
      </c>
      <c r="AF53" s="3">
        <v>84.0</v>
      </c>
      <c r="AG53" s="3">
        <v>5.0</v>
      </c>
      <c r="AH53" s="3">
        <v>0.0</v>
      </c>
      <c r="AI53" s="3">
        <v>5.0</v>
      </c>
      <c r="AJ53" s="3">
        <v>0.0</v>
      </c>
      <c r="AK53" s="3">
        <v>0.0</v>
      </c>
      <c r="AL53" s="3">
        <v>5.0</v>
      </c>
    </row>
    <row r="54">
      <c r="A54" s="1" t="s">
        <v>38</v>
      </c>
      <c r="B54" s="3">
        <v>40361.0</v>
      </c>
      <c r="C54" s="6">
        <v>46330.0</v>
      </c>
      <c r="D54" s="3" t="s">
        <v>40</v>
      </c>
      <c r="E54" s="1" t="s">
        <v>41</v>
      </c>
      <c r="F54" s="3">
        <v>76188.0</v>
      </c>
      <c r="G54" s="1" t="s">
        <v>308</v>
      </c>
      <c r="H54" s="4">
        <v>45532.64813657408</v>
      </c>
      <c r="I54" s="1" t="s">
        <v>43</v>
      </c>
      <c r="J54" s="1" t="s">
        <v>309</v>
      </c>
      <c r="K54" s="1" t="s">
        <v>140</v>
      </c>
      <c r="L54" s="1" t="s">
        <v>46</v>
      </c>
      <c r="M54" s="1" t="s">
        <v>236</v>
      </c>
      <c r="N54" s="1" t="s">
        <v>310</v>
      </c>
      <c r="O54" s="1" t="s">
        <v>311</v>
      </c>
      <c r="P54" s="3" t="s">
        <v>145</v>
      </c>
      <c r="Q54" s="3" t="s">
        <v>88</v>
      </c>
      <c r="R54" s="3">
        <v>1949.0</v>
      </c>
      <c r="S54" s="1" t="s">
        <v>312</v>
      </c>
      <c r="T54" s="1" t="s">
        <v>53</v>
      </c>
      <c r="U54" s="1" t="s">
        <v>54</v>
      </c>
      <c r="V54" s="1" t="s">
        <v>55</v>
      </c>
      <c r="W54" s="1" t="s">
        <v>56</v>
      </c>
      <c r="X54" s="1" t="s">
        <v>57</v>
      </c>
      <c r="Y54" s="1" t="s">
        <v>58</v>
      </c>
      <c r="Z54" s="1" t="s">
        <v>59</v>
      </c>
      <c r="AA54" s="3">
        <v>7.0</v>
      </c>
      <c r="AB54" s="1" t="s">
        <v>60</v>
      </c>
      <c r="AC54" s="3">
        <v>16.0</v>
      </c>
      <c r="AD54" s="3">
        <v>16.0</v>
      </c>
      <c r="AE54" s="5">
        <v>0.6375</v>
      </c>
      <c r="AF54" s="3">
        <v>51.0</v>
      </c>
      <c r="AG54" s="3">
        <v>5.0</v>
      </c>
      <c r="AH54" s="3">
        <v>0.0</v>
      </c>
      <c r="AI54" s="3">
        <v>5.0</v>
      </c>
      <c r="AJ54" s="3">
        <v>0.0</v>
      </c>
      <c r="AK54" s="3">
        <v>0.0</v>
      </c>
      <c r="AL54" s="3">
        <v>5.0</v>
      </c>
    </row>
    <row r="55">
      <c r="A55" s="1" t="s">
        <v>38</v>
      </c>
      <c r="B55" s="3">
        <v>40363.0</v>
      </c>
      <c r="C55" s="6">
        <v>46330.0</v>
      </c>
      <c r="D55" s="3" t="s">
        <v>40</v>
      </c>
      <c r="E55" s="1" t="s">
        <v>41</v>
      </c>
      <c r="F55" s="3">
        <v>76188.0</v>
      </c>
      <c r="G55" s="1" t="s">
        <v>308</v>
      </c>
      <c r="H55" s="4">
        <v>45532.64813657408</v>
      </c>
      <c r="I55" s="1" t="s">
        <v>43</v>
      </c>
      <c r="J55" s="1" t="s">
        <v>309</v>
      </c>
      <c r="K55" s="1" t="s">
        <v>140</v>
      </c>
      <c r="L55" s="1" t="s">
        <v>46</v>
      </c>
      <c r="M55" s="1" t="s">
        <v>236</v>
      </c>
      <c r="N55" s="1" t="s">
        <v>310</v>
      </c>
      <c r="O55" s="1" t="s">
        <v>311</v>
      </c>
      <c r="P55" s="3" t="s">
        <v>113</v>
      </c>
      <c r="Q55" s="3" t="s">
        <v>51</v>
      </c>
      <c r="R55" s="3">
        <v>1949.0</v>
      </c>
      <c r="S55" s="1" t="s">
        <v>312</v>
      </c>
      <c r="T55" s="1" t="s">
        <v>53</v>
      </c>
      <c r="U55" s="1" t="s">
        <v>54</v>
      </c>
      <c r="V55" s="1" t="s">
        <v>55</v>
      </c>
      <c r="W55" s="1" t="s">
        <v>56</v>
      </c>
      <c r="X55" s="1" t="s">
        <v>57</v>
      </c>
      <c r="Y55" s="1" t="s">
        <v>58</v>
      </c>
      <c r="Z55" s="1" t="s">
        <v>59</v>
      </c>
      <c r="AA55" s="3">
        <v>8.0</v>
      </c>
      <c r="AB55" s="1" t="s">
        <v>60</v>
      </c>
      <c r="AC55" s="3">
        <v>35.0</v>
      </c>
      <c r="AD55" s="3">
        <v>35.0</v>
      </c>
      <c r="AE55" s="5">
        <v>0.6</v>
      </c>
      <c r="AF55" s="3">
        <v>105.0</v>
      </c>
      <c r="AG55" s="3">
        <v>5.0</v>
      </c>
      <c r="AH55" s="3">
        <v>0.0</v>
      </c>
      <c r="AI55" s="3">
        <v>5.0</v>
      </c>
      <c r="AJ55" s="3">
        <v>0.0</v>
      </c>
      <c r="AK55" s="3">
        <v>0.0</v>
      </c>
      <c r="AL55" s="3">
        <v>5.0</v>
      </c>
    </row>
    <row r="56">
      <c r="A56" s="1" t="s">
        <v>38</v>
      </c>
      <c r="B56" s="3">
        <v>40358.0</v>
      </c>
      <c r="C56" s="3" t="s">
        <v>39</v>
      </c>
      <c r="D56" s="3" t="s">
        <v>40</v>
      </c>
      <c r="E56" s="1" t="s">
        <v>41</v>
      </c>
      <c r="F56" s="3">
        <v>76188.0</v>
      </c>
      <c r="G56" s="1" t="s">
        <v>308</v>
      </c>
      <c r="H56" s="4">
        <v>45532.64813657408</v>
      </c>
      <c r="I56" s="1" t="s">
        <v>43</v>
      </c>
      <c r="J56" s="1" t="s">
        <v>309</v>
      </c>
      <c r="K56" s="1" t="s">
        <v>140</v>
      </c>
      <c r="L56" s="1" t="s">
        <v>46</v>
      </c>
      <c r="M56" s="1" t="s">
        <v>236</v>
      </c>
      <c r="N56" s="1" t="s">
        <v>310</v>
      </c>
      <c r="O56" s="1" t="s">
        <v>311</v>
      </c>
      <c r="P56" s="3" t="s">
        <v>113</v>
      </c>
      <c r="Q56" s="3" t="s">
        <v>51</v>
      </c>
      <c r="R56" s="3">
        <v>1952.0</v>
      </c>
      <c r="S56" s="1" t="s">
        <v>313</v>
      </c>
      <c r="T56" s="1" t="s">
        <v>53</v>
      </c>
      <c r="U56" s="1" t="s">
        <v>54</v>
      </c>
      <c r="V56" s="1" t="s">
        <v>55</v>
      </c>
      <c r="W56" s="1" t="s">
        <v>56</v>
      </c>
      <c r="X56" s="1" t="s">
        <v>57</v>
      </c>
      <c r="Y56" s="1" t="s">
        <v>58</v>
      </c>
      <c r="Z56" s="1" t="s">
        <v>59</v>
      </c>
      <c r="AA56" s="3">
        <v>8.0</v>
      </c>
      <c r="AB56" s="1" t="s">
        <v>60</v>
      </c>
      <c r="AC56" s="3">
        <v>34.0</v>
      </c>
      <c r="AD56" s="3">
        <v>34.0</v>
      </c>
      <c r="AE56" s="5">
        <v>0.6941</v>
      </c>
      <c r="AF56" s="3">
        <v>118.0</v>
      </c>
      <c r="AG56" s="3">
        <v>5.0</v>
      </c>
      <c r="AH56" s="3">
        <v>0.0</v>
      </c>
      <c r="AI56" s="3">
        <v>4.0</v>
      </c>
      <c r="AJ56" s="3">
        <v>1.0</v>
      </c>
      <c r="AK56" s="3">
        <v>0.0</v>
      </c>
      <c r="AL56" s="3">
        <v>5.0</v>
      </c>
    </row>
    <row r="57">
      <c r="A57" s="1" t="s">
        <v>38</v>
      </c>
      <c r="B57" s="3">
        <v>40381.0</v>
      </c>
      <c r="C57" s="3" t="s">
        <v>39</v>
      </c>
      <c r="D57" s="3" t="s">
        <v>40</v>
      </c>
      <c r="E57" s="1" t="s">
        <v>41</v>
      </c>
      <c r="F57" s="3">
        <v>78968.0</v>
      </c>
      <c r="G57" s="1" t="s">
        <v>314</v>
      </c>
      <c r="H57" s="4">
        <v>45635.69579861111</v>
      </c>
      <c r="I57" s="1" t="s">
        <v>43</v>
      </c>
      <c r="J57" s="1" t="s">
        <v>315</v>
      </c>
      <c r="K57" s="1" t="s">
        <v>124</v>
      </c>
      <c r="L57" s="1" t="s">
        <v>46</v>
      </c>
      <c r="M57" s="1" t="s">
        <v>141</v>
      </c>
      <c r="N57" s="1" t="s">
        <v>183</v>
      </c>
      <c r="O57" s="1" t="s">
        <v>316</v>
      </c>
      <c r="P57" s="3" t="s">
        <v>145</v>
      </c>
      <c r="Q57" s="3" t="s">
        <v>51</v>
      </c>
      <c r="R57" s="3">
        <v>1944.0</v>
      </c>
      <c r="S57" s="1" t="s">
        <v>317</v>
      </c>
      <c r="T57" s="1" t="s">
        <v>53</v>
      </c>
      <c r="U57" s="1" t="s">
        <v>115</v>
      </c>
      <c r="V57" s="1" t="s">
        <v>55</v>
      </c>
      <c r="W57" s="1" t="s">
        <v>56</v>
      </c>
      <c r="X57" s="1" t="s">
        <v>57</v>
      </c>
      <c r="Y57" s="1" t="s">
        <v>58</v>
      </c>
      <c r="Z57" s="1" t="s">
        <v>59</v>
      </c>
      <c r="AA57" s="3">
        <v>8.0</v>
      </c>
      <c r="AB57" s="1" t="s">
        <v>60</v>
      </c>
      <c r="AC57" s="3">
        <v>21.0</v>
      </c>
      <c r="AD57" s="3">
        <v>21.0</v>
      </c>
      <c r="AE57" s="5">
        <v>0.625</v>
      </c>
      <c r="AF57" s="3">
        <v>80.0</v>
      </c>
      <c r="AG57" s="3">
        <v>6.0</v>
      </c>
      <c r="AH57" s="3">
        <v>0.0</v>
      </c>
      <c r="AI57" s="3">
        <v>6.0</v>
      </c>
      <c r="AJ57" s="3">
        <v>0.0</v>
      </c>
      <c r="AK57" s="3">
        <v>0.0</v>
      </c>
      <c r="AL57" s="3">
        <v>6.0</v>
      </c>
    </row>
    <row r="58">
      <c r="A58" s="1" t="s">
        <v>38</v>
      </c>
      <c r="B58" s="3">
        <v>40292.0</v>
      </c>
      <c r="C58" s="6">
        <v>46026.0</v>
      </c>
      <c r="D58" s="3" t="s">
        <v>40</v>
      </c>
      <c r="E58" s="1" t="s">
        <v>41</v>
      </c>
      <c r="F58" s="3">
        <v>88559.0</v>
      </c>
      <c r="G58" s="1" t="s">
        <v>318</v>
      </c>
      <c r="H58" s="4">
        <v>46062.55231481481</v>
      </c>
      <c r="I58" s="1" t="s">
        <v>43</v>
      </c>
      <c r="J58" s="1" t="s">
        <v>85</v>
      </c>
      <c r="K58" s="1" t="s">
        <v>63</v>
      </c>
      <c r="L58" s="1" t="s">
        <v>46</v>
      </c>
      <c r="M58" s="1" t="s">
        <v>264</v>
      </c>
      <c r="N58" s="1" t="s">
        <v>237</v>
      </c>
      <c r="O58" s="1" t="s">
        <v>319</v>
      </c>
      <c r="P58" s="3" t="s">
        <v>193</v>
      </c>
      <c r="Q58" s="3" t="s">
        <v>88</v>
      </c>
      <c r="R58" s="3">
        <v>1777.0</v>
      </c>
      <c r="S58" s="1" t="s">
        <v>121</v>
      </c>
      <c r="T58" s="1" t="s">
        <v>53</v>
      </c>
      <c r="U58" s="1" t="s">
        <v>81</v>
      </c>
      <c r="V58" s="1" t="s">
        <v>71</v>
      </c>
      <c r="W58" s="1" t="s">
        <v>56</v>
      </c>
      <c r="X58" s="1" t="s">
        <v>72</v>
      </c>
      <c r="Y58" s="1" t="s">
        <v>58</v>
      </c>
      <c r="Z58" s="1" t="s">
        <v>59</v>
      </c>
      <c r="AA58" s="3">
        <v>6.0</v>
      </c>
      <c r="AB58" s="1" t="s">
        <v>82</v>
      </c>
      <c r="AC58" s="3">
        <v>5.0</v>
      </c>
      <c r="AD58" s="3">
        <v>5.0</v>
      </c>
      <c r="AE58" s="5">
        <v>1.0</v>
      </c>
      <c r="AF58" s="3">
        <v>20.0</v>
      </c>
      <c r="AG58" s="3">
        <v>4.0</v>
      </c>
      <c r="AH58" s="3">
        <v>0.0</v>
      </c>
      <c r="AI58" s="3">
        <v>4.0</v>
      </c>
      <c r="AJ58" s="3">
        <v>0.0</v>
      </c>
      <c r="AK58" s="3">
        <v>0.0</v>
      </c>
      <c r="AL58" s="3">
        <v>4.0</v>
      </c>
    </row>
    <row r="59">
      <c r="A59" s="1" t="s">
        <v>38</v>
      </c>
      <c r="B59" s="3">
        <v>40321.0</v>
      </c>
      <c r="C59" s="6">
        <v>46026.0</v>
      </c>
      <c r="D59" s="3" t="s">
        <v>40</v>
      </c>
      <c r="E59" s="1" t="s">
        <v>41</v>
      </c>
      <c r="F59" s="3">
        <v>89728.0</v>
      </c>
      <c r="G59" s="1" t="s">
        <v>320</v>
      </c>
      <c r="H59" s="4">
        <v>46134.52851851852</v>
      </c>
      <c r="I59" s="1" t="s">
        <v>133</v>
      </c>
      <c r="J59" s="1" t="s">
        <v>85</v>
      </c>
      <c r="K59" s="1" t="s">
        <v>63</v>
      </c>
      <c r="L59" s="1" t="s">
        <v>46</v>
      </c>
      <c r="M59" s="1" t="s">
        <v>47</v>
      </c>
      <c r="N59" s="1" t="s">
        <v>321</v>
      </c>
      <c r="O59" s="1" t="s">
        <v>322</v>
      </c>
      <c r="P59" s="3" t="s">
        <v>100</v>
      </c>
      <c r="Q59" s="3" t="s">
        <v>88</v>
      </c>
      <c r="R59" s="3">
        <v>1783.0</v>
      </c>
      <c r="S59" s="1" t="s">
        <v>323</v>
      </c>
      <c r="T59" s="1" t="s">
        <v>53</v>
      </c>
      <c r="U59" s="1" t="s">
        <v>70</v>
      </c>
      <c r="V59" s="1" t="s">
        <v>71</v>
      </c>
      <c r="W59" s="1" t="s">
        <v>56</v>
      </c>
      <c r="X59" s="1" t="s">
        <v>72</v>
      </c>
      <c r="Y59" s="1" t="s">
        <v>58</v>
      </c>
      <c r="Z59" s="1" t="s">
        <v>59</v>
      </c>
      <c r="AA59" s="3">
        <v>7.0</v>
      </c>
      <c r="AB59" s="1" t="s">
        <v>257</v>
      </c>
      <c r="AC59" s="3">
        <v>32.0</v>
      </c>
      <c r="AD59" s="3">
        <v>32.0</v>
      </c>
      <c r="AE59" s="5">
        <v>0.9844</v>
      </c>
      <c r="AF59" s="3">
        <v>63.0</v>
      </c>
      <c r="AG59" s="3">
        <v>2.0</v>
      </c>
      <c r="AH59" s="3">
        <v>0.0</v>
      </c>
      <c r="AI59" s="3">
        <v>2.0</v>
      </c>
      <c r="AJ59" s="3">
        <v>0.0</v>
      </c>
      <c r="AK59" s="3">
        <v>0.0</v>
      </c>
      <c r="AL59" s="3">
        <v>2.0</v>
      </c>
    </row>
    <row r="60">
      <c r="A60" s="1" t="s">
        <v>38</v>
      </c>
      <c r="B60" s="3">
        <v>40253.0</v>
      </c>
      <c r="C60" s="6">
        <v>46026.0</v>
      </c>
      <c r="D60" s="3" t="s">
        <v>40</v>
      </c>
      <c r="E60" s="1" t="s">
        <v>41</v>
      </c>
      <c r="F60" s="3">
        <v>87290.0</v>
      </c>
      <c r="G60" s="1" t="s">
        <v>324</v>
      </c>
      <c r="H60" s="4">
        <v>45996.55416666667</v>
      </c>
      <c r="I60" s="1" t="s">
        <v>43</v>
      </c>
      <c r="J60" s="1" t="s">
        <v>325</v>
      </c>
      <c r="K60" s="1" t="s">
        <v>63</v>
      </c>
      <c r="L60" s="1" t="s">
        <v>46</v>
      </c>
      <c r="M60" s="1" t="s">
        <v>105</v>
      </c>
      <c r="N60" s="1" t="s">
        <v>326</v>
      </c>
      <c r="O60" s="1" t="s">
        <v>327</v>
      </c>
      <c r="P60" s="3" t="s">
        <v>39</v>
      </c>
      <c r="Q60" s="3" t="s">
        <v>88</v>
      </c>
      <c r="R60" s="3">
        <v>1784.0</v>
      </c>
      <c r="S60" s="1" t="s">
        <v>328</v>
      </c>
      <c r="T60" s="1" t="s">
        <v>53</v>
      </c>
      <c r="U60" s="1" t="s">
        <v>81</v>
      </c>
      <c r="V60" s="1" t="s">
        <v>71</v>
      </c>
      <c r="W60" s="1" t="s">
        <v>56</v>
      </c>
      <c r="X60" s="1" t="s">
        <v>72</v>
      </c>
      <c r="Y60" s="1" t="s">
        <v>58</v>
      </c>
      <c r="Z60" s="1" t="s">
        <v>59</v>
      </c>
      <c r="AA60" s="3">
        <v>7.0</v>
      </c>
      <c r="AB60" s="1" t="s">
        <v>257</v>
      </c>
      <c r="AC60" s="3">
        <v>17.0</v>
      </c>
      <c r="AD60" s="3">
        <v>17.0</v>
      </c>
      <c r="AE60" s="5">
        <v>1.0</v>
      </c>
      <c r="AF60" s="3">
        <v>102.0</v>
      </c>
      <c r="AG60" s="3">
        <v>6.0</v>
      </c>
      <c r="AH60" s="3">
        <v>0.0</v>
      </c>
      <c r="AI60" s="3">
        <v>6.0</v>
      </c>
      <c r="AJ60" s="3">
        <v>0.0</v>
      </c>
      <c r="AK60" s="3">
        <v>0.0</v>
      </c>
      <c r="AL60" s="3">
        <v>6.0</v>
      </c>
    </row>
    <row r="61">
      <c r="A61" s="1" t="s">
        <v>38</v>
      </c>
      <c r="B61" s="3">
        <v>40281.0</v>
      </c>
      <c r="C61" s="6">
        <v>46026.0</v>
      </c>
      <c r="D61" s="3" t="s">
        <v>40</v>
      </c>
      <c r="E61" s="1" t="s">
        <v>41</v>
      </c>
      <c r="F61" s="3">
        <v>72424.0</v>
      </c>
      <c r="G61" s="1" t="s">
        <v>329</v>
      </c>
      <c r="H61" s="4">
        <v>45416.72546296296</v>
      </c>
      <c r="I61" s="1" t="s">
        <v>43</v>
      </c>
      <c r="J61" s="1" t="s">
        <v>330</v>
      </c>
      <c r="K61" s="1" t="s">
        <v>331</v>
      </c>
      <c r="L61" s="1" t="s">
        <v>46</v>
      </c>
      <c r="M61" s="1" t="s">
        <v>264</v>
      </c>
      <c r="N61" s="1" t="s">
        <v>332</v>
      </c>
      <c r="O61" s="1" t="s">
        <v>333</v>
      </c>
      <c r="P61" s="3" t="s">
        <v>100</v>
      </c>
      <c r="Q61" s="3" t="s">
        <v>88</v>
      </c>
      <c r="R61" s="3">
        <v>1787.0</v>
      </c>
      <c r="S61" s="1" t="s">
        <v>80</v>
      </c>
      <c r="T61" s="1" t="s">
        <v>53</v>
      </c>
      <c r="U61" s="1" t="s">
        <v>81</v>
      </c>
      <c r="V61" s="1" t="s">
        <v>71</v>
      </c>
      <c r="W61" s="1" t="s">
        <v>56</v>
      </c>
      <c r="X61" s="1" t="s">
        <v>72</v>
      </c>
      <c r="Y61" s="1" t="s">
        <v>58</v>
      </c>
      <c r="Z61" s="1" t="s">
        <v>59</v>
      </c>
      <c r="AA61" s="3">
        <v>7.0</v>
      </c>
      <c r="AB61" s="1" t="s">
        <v>257</v>
      </c>
      <c r="AC61" s="3">
        <v>30.0</v>
      </c>
      <c r="AD61" s="3">
        <v>30.0</v>
      </c>
      <c r="AE61" s="5">
        <v>0.95</v>
      </c>
      <c r="AF61" s="3">
        <v>57.0</v>
      </c>
      <c r="AG61" s="3">
        <v>2.0</v>
      </c>
      <c r="AH61" s="3">
        <v>0.0</v>
      </c>
      <c r="AI61" s="3">
        <v>2.0</v>
      </c>
      <c r="AJ61" s="3">
        <v>0.0</v>
      </c>
      <c r="AK61" s="3">
        <v>0.0</v>
      </c>
      <c r="AL61" s="3">
        <v>2.0</v>
      </c>
    </row>
    <row r="62">
      <c r="A62" s="1" t="s">
        <v>38</v>
      </c>
      <c r="B62" s="3">
        <v>40334.0</v>
      </c>
      <c r="C62" s="6">
        <v>46026.0</v>
      </c>
      <c r="D62" s="3" t="s">
        <v>40</v>
      </c>
      <c r="E62" s="1" t="s">
        <v>41</v>
      </c>
      <c r="F62" s="3">
        <v>28410.0</v>
      </c>
      <c r="G62" s="1" t="s">
        <v>334</v>
      </c>
      <c r="H62" s="4">
        <v>43616.55366898148</v>
      </c>
      <c r="I62" s="1" t="s">
        <v>43</v>
      </c>
      <c r="J62" s="1" t="s">
        <v>262</v>
      </c>
      <c r="K62" s="1" t="s">
        <v>262</v>
      </c>
      <c r="L62" s="1" t="s">
        <v>263</v>
      </c>
      <c r="M62" s="1" t="s">
        <v>335</v>
      </c>
      <c r="N62" s="1" t="s">
        <v>336</v>
      </c>
      <c r="O62" s="1" t="s">
        <v>337</v>
      </c>
      <c r="P62" s="3" t="s">
        <v>50</v>
      </c>
      <c r="Q62" s="3" t="s">
        <v>51</v>
      </c>
      <c r="R62" s="3">
        <v>1788.0</v>
      </c>
      <c r="S62" s="1" t="s">
        <v>338</v>
      </c>
      <c r="T62" s="1" t="s">
        <v>53</v>
      </c>
      <c r="U62" s="1" t="s">
        <v>81</v>
      </c>
      <c r="V62" s="1" t="s">
        <v>71</v>
      </c>
      <c r="W62" s="1" t="s">
        <v>56</v>
      </c>
      <c r="X62" s="1" t="s">
        <v>72</v>
      </c>
      <c r="Y62" s="1" t="s">
        <v>58</v>
      </c>
      <c r="Z62" s="1" t="s">
        <v>59</v>
      </c>
      <c r="AA62" s="3">
        <v>8.0</v>
      </c>
      <c r="AB62" s="1" t="s">
        <v>82</v>
      </c>
      <c r="AC62" s="3">
        <v>17.0</v>
      </c>
      <c r="AD62" s="3">
        <v>17.0</v>
      </c>
      <c r="AE62" s="5">
        <v>0.6863</v>
      </c>
      <c r="AF62" s="3">
        <v>35.0</v>
      </c>
      <c r="AG62" s="3">
        <v>3.0</v>
      </c>
      <c r="AH62" s="3">
        <v>0.0</v>
      </c>
      <c r="AI62" s="3">
        <v>3.0</v>
      </c>
      <c r="AJ62" s="3">
        <v>0.0</v>
      </c>
      <c r="AK62" s="3">
        <v>0.0</v>
      </c>
      <c r="AL62" s="3">
        <v>3.0</v>
      </c>
    </row>
    <row r="63">
      <c r="A63" s="1" t="s">
        <v>38</v>
      </c>
      <c r="B63" s="3">
        <v>40224.0</v>
      </c>
      <c r="C63" s="6">
        <v>46026.0</v>
      </c>
      <c r="D63" s="3" t="s">
        <v>40</v>
      </c>
      <c r="E63" s="1" t="s">
        <v>41</v>
      </c>
      <c r="F63" s="3">
        <v>89014.0</v>
      </c>
      <c r="G63" s="1" t="s">
        <v>339</v>
      </c>
      <c r="H63" s="4">
        <v>46091.14934027778</v>
      </c>
      <c r="I63" s="1" t="s">
        <v>43</v>
      </c>
      <c r="J63" s="1" t="s">
        <v>151</v>
      </c>
      <c r="K63" s="1" t="s">
        <v>152</v>
      </c>
      <c r="L63" s="1" t="s">
        <v>46</v>
      </c>
      <c r="M63" s="1" t="s">
        <v>47</v>
      </c>
      <c r="N63" s="1" t="s">
        <v>340</v>
      </c>
      <c r="O63" s="1" t="s">
        <v>341</v>
      </c>
      <c r="P63" s="3" t="s">
        <v>127</v>
      </c>
      <c r="Q63" s="3" t="s">
        <v>51</v>
      </c>
      <c r="R63" s="3">
        <v>1775.0</v>
      </c>
      <c r="S63" s="1" t="s">
        <v>290</v>
      </c>
      <c r="T63" s="1" t="s">
        <v>53</v>
      </c>
      <c r="U63" s="1" t="s">
        <v>81</v>
      </c>
      <c r="V63" s="1" t="s">
        <v>71</v>
      </c>
      <c r="W63" s="1" t="s">
        <v>56</v>
      </c>
      <c r="X63" s="1" t="s">
        <v>72</v>
      </c>
      <c r="Y63" s="1" t="s">
        <v>58</v>
      </c>
      <c r="Z63" s="1" t="s">
        <v>59</v>
      </c>
      <c r="AA63" s="3">
        <v>8.0</v>
      </c>
      <c r="AB63" s="1" t="s">
        <v>82</v>
      </c>
      <c r="AC63" s="3">
        <v>10.0</v>
      </c>
      <c r="AD63" s="3">
        <v>10.0</v>
      </c>
      <c r="AE63" s="5">
        <v>0.95</v>
      </c>
      <c r="AF63" s="3">
        <v>38.0</v>
      </c>
      <c r="AG63" s="3">
        <v>4.0</v>
      </c>
      <c r="AH63" s="3">
        <v>0.0</v>
      </c>
      <c r="AI63" s="3">
        <v>4.0</v>
      </c>
      <c r="AJ63" s="3">
        <v>0.0</v>
      </c>
      <c r="AK63" s="3">
        <v>0.0</v>
      </c>
      <c r="AL63" s="3">
        <v>4.0</v>
      </c>
    </row>
    <row r="64">
      <c r="A64" s="1" t="s">
        <v>38</v>
      </c>
      <c r="B64" s="3">
        <v>40388.0</v>
      </c>
      <c r="C64" s="3" t="s">
        <v>145</v>
      </c>
      <c r="D64" s="3" t="s">
        <v>146</v>
      </c>
      <c r="E64" s="1" t="s">
        <v>41</v>
      </c>
      <c r="F64" s="3">
        <v>60069.0</v>
      </c>
      <c r="G64" s="1" t="s">
        <v>342</v>
      </c>
      <c r="H64" s="4">
        <v>44820.50486111111</v>
      </c>
      <c r="I64" s="1" t="s">
        <v>43</v>
      </c>
      <c r="J64" s="1" t="s">
        <v>234</v>
      </c>
      <c r="K64" s="1" t="s">
        <v>235</v>
      </c>
      <c r="L64" s="1" t="s">
        <v>46</v>
      </c>
      <c r="M64" s="1" t="s">
        <v>141</v>
      </c>
      <c r="N64" s="1" t="s">
        <v>343</v>
      </c>
      <c r="O64" s="1" t="s">
        <v>344</v>
      </c>
      <c r="P64" s="3" t="s">
        <v>193</v>
      </c>
      <c r="Q64" s="3" t="s">
        <v>88</v>
      </c>
      <c r="R64" s="3">
        <v>82.0</v>
      </c>
      <c r="S64" s="1" t="s">
        <v>345</v>
      </c>
      <c r="T64" s="1" t="s">
        <v>148</v>
      </c>
      <c r="U64" s="1" t="s">
        <v>149</v>
      </c>
      <c r="V64" s="1" t="s">
        <v>55</v>
      </c>
      <c r="W64" s="1" t="s">
        <v>56</v>
      </c>
      <c r="X64" s="1" t="s">
        <v>57</v>
      </c>
      <c r="Y64" s="1" t="s">
        <v>58</v>
      </c>
      <c r="Z64" s="1" t="s">
        <v>59</v>
      </c>
      <c r="AA64" s="3">
        <v>7.0</v>
      </c>
      <c r="AB64" s="1" t="s">
        <v>60</v>
      </c>
      <c r="AC64" s="3">
        <v>32.0</v>
      </c>
      <c r="AD64" s="3">
        <v>32.0</v>
      </c>
      <c r="AE64" s="5">
        <v>0.7434</v>
      </c>
      <c r="AF64" s="3">
        <v>113.0</v>
      </c>
      <c r="AG64" s="3">
        <v>4.0</v>
      </c>
      <c r="AH64" s="3">
        <v>0.0</v>
      </c>
      <c r="AI64" s="3">
        <v>4.0</v>
      </c>
      <c r="AJ64" s="3">
        <v>0.0</v>
      </c>
      <c r="AK64" s="3">
        <v>0.0</v>
      </c>
      <c r="AL64" s="3">
        <v>4.0</v>
      </c>
    </row>
    <row r="65">
      <c r="A65" s="1" t="s">
        <v>38</v>
      </c>
      <c r="B65" s="3">
        <v>40390.0</v>
      </c>
      <c r="C65" s="3" t="s">
        <v>145</v>
      </c>
      <c r="D65" s="3" t="s">
        <v>146</v>
      </c>
      <c r="E65" s="1" t="s">
        <v>41</v>
      </c>
      <c r="F65" s="3">
        <v>60069.0</v>
      </c>
      <c r="G65" s="1" t="s">
        <v>342</v>
      </c>
      <c r="H65" s="4">
        <v>44820.50486111111</v>
      </c>
      <c r="I65" s="1" t="s">
        <v>43</v>
      </c>
      <c r="J65" s="1" t="s">
        <v>234</v>
      </c>
      <c r="K65" s="1" t="s">
        <v>235</v>
      </c>
      <c r="L65" s="1" t="s">
        <v>46</v>
      </c>
      <c r="M65" s="1" t="s">
        <v>141</v>
      </c>
      <c r="N65" s="1" t="s">
        <v>343</v>
      </c>
      <c r="O65" s="1" t="s">
        <v>344</v>
      </c>
      <c r="P65" s="3" t="s">
        <v>193</v>
      </c>
      <c r="Q65" s="3" t="s">
        <v>88</v>
      </c>
      <c r="R65" s="3">
        <v>83.0</v>
      </c>
      <c r="S65" s="1" t="s">
        <v>346</v>
      </c>
      <c r="T65" s="1" t="s">
        <v>148</v>
      </c>
      <c r="U65" s="1" t="s">
        <v>149</v>
      </c>
      <c r="V65" s="1" t="s">
        <v>55</v>
      </c>
      <c r="W65" s="1" t="s">
        <v>56</v>
      </c>
      <c r="X65" s="1" t="s">
        <v>57</v>
      </c>
      <c r="Y65" s="1" t="s">
        <v>58</v>
      </c>
      <c r="Z65" s="1" t="s">
        <v>59</v>
      </c>
      <c r="AA65" s="3">
        <v>7.0</v>
      </c>
      <c r="AB65" s="1" t="s">
        <v>60</v>
      </c>
      <c r="AC65" s="3">
        <v>16.0</v>
      </c>
      <c r="AD65" s="3">
        <v>16.0</v>
      </c>
      <c r="AE65" s="5">
        <v>0.7353</v>
      </c>
      <c r="AF65" s="3">
        <v>50.0</v>
      </c>
      <c r="AG65" s="3">
        <v>4.0</v>
      </c>
      <c r="AH65" s="3">
        <v>0.0</v>
      </c>
      <c r="AI65" s="3">
        <v>4.0</v>
      </c>
      <c r="AJ65" s="3">
        <v>0.0</v>
      </c>
      <c r="AK65" s="3">
        <v>0.0</v>
      </c>
      <c r="AL65" s="3">
        <v>4.0</v>
      </c>
    </row>
    <row r="66">
      <c r="A66" s="1" t="s">
        <v>38</v>
      </c>
      <c r="B66" s="3">
        <v>40230.0</v>
      </c>
      <c r="C66" s="6">
        <v>46026.0</v>
      </c>
      <c r="D66" s="3" t="s">
        <v>40</v>
      </c>
      <c r="E66" s="1" t="s">
        <v>41</v>
      </c>
      <c r="F66" s="3">
        <v>89774.0</v>
      </c>
      <c r="G66" s="1" t="s">
        <v>347</v>
      </c>
      <c r="H66" s="4">
        <v>46134.53733796296</v>
      </c>
      <c r="I66" s="1" t="s">
        <v>133</v>
      </c>
      <c r="J66" s="1" t="s">
        <v>151</v>
      </c>
      <c r="K66" s="1" t="s">
        <v>152</v>
      </c>
      <c r="L66" s="1" t="s">
        <v>46</v>
      </c>
      <c r="M66" s="1" t="s">
        <v>47</v>
      </c>
      <c r="N66" s="1" t="s">
        <v>348</v>
      </c>
      <c r="O66" s="1" t="s">
        <v>349</v>
      </c>
      <c r="P66" s="3" t="s">
        <v>68</v>
      </c>
      <c r="Q66" s="3" t="s">
        <v>68</v>
      </c>
      <c r="R66" s="3">
        <v>1775.0</v>
      </c>
      <c r="S66" s="1" t="s">
        <v>290</v>
      </c>
      <c r="T66" s="1" t="s">
        <v>53</v>
      </c>
      <c r="U66" s="1" t="s">
        <v>81</v>
      </c>
      <c r="V66" s="1" t="s">
        <v>71</v>
      </c>
      <c r="W66" s="1" t="s">
        <v>56</v>
      </c>
      <c r="X66" s="1" t="s">
        <v>72</v>
      </c>
      <c r="Y66" s="1" t="s">
        <v>58</v>
      </c>
      <c r="Z66" s="1" t="s">
        <v>59</v>
      </c>
      <c r="AA66" s="3">
        <v>7.0</v>
      </c>
      <c r="AB66" s="1" t="s">
        <v>60</v>
      </c>
      <c r="AC66" s="3">
        <v>17.0</v>
      </c>
      <c r="AD66" s="3">
        <v>17.0</v>
      </c>
      <c r="AE66" s="5">
        <v>0.8235</v>
      </c>
      <c r="AF66" s="3">
        <v>14.0</v>
      </c>
      <c r="AG66" s="3">
        <v>1.0</v>
      </c>
      <c r="AH66" s="3">
        <v>0.0</v>
      </c>
      <c r="AI66" s="3">
        <v>1.0</v>
      </c>
      <c r="AJ66" s="3">
        <v>0.0</v>
      </c>
      <c r="AK66" s="3">
        <v>0.0</v>
      </c>
      <c r="AL66" s="3">
        <v>1.0</v>
      </c>
    </row>
    <row r="67">
      <c r="A67" s="1" t="s">
        <v>38</v>
      </c>
      <c r="B67" s="3">
        <v>40225.0</v>
      </c>
      <c r="C67" s="6">
        <v>46299.0</v>
      </c>
      <c r="D67" s="3" t="s">
        <v>83</v>
      </c>
      <c r="E67" s="1" t="s">
        <v>41</v>
      </c>
      <c r="F67" s="3">
        <v>89451.0</v>
      </c>
      <c r="G67" s="1" t="s">
        <v>350</v>
      </c>
      <c r="H67" s="4">
        <v>46120.728113425925</v>
      </c>
      <c r="I67" s="1" t="s">
        <v>43</v>
      </c>
      <c r="J67" s="1" t="s">
        <v>351</v>
      </c>
      <c r="K67" s="1" t="s">
        <v>352</v>
      </c>
      <c r="L67" s="1" t="s">
        <v>46</v>
      </c>
      <c r="M67" s="1" t="s">
        <v>64</v>
      </c>
      <c r="N67" s="1" t="s">
        <v>65</v>
      </c>
      <c r="O67" s="1" t="s">
        <v>353</v>
      </c>
      <c r="P67" s="3" t="s">
        <v>113</v>
      </c>
      <c r="Q67" s="3" t="s">
        <v>51</v>
      </c>
      <c r="R67" s="3">
        <v>1758.0</v>
      </c>
      <c r="S67" s="1" t="s">
        <v>185</v>
      </c>
      <c r="T67" s="1" t="s">
        <v>186</v>
      </c>
      <c r="U67" s="1" t="s">
        <v>187</v>
      </c>
      <c r="V67" s="1" t="s">
        <v>92</v>
      </c>
      <c r="W67" s="1" t="s">
        <v>93</v>
      </c>
      <c r="X67" s="1" t="s">
        <v>57</v>
      </c>
      <c r="Y67" s="1" t="s">
        <v>58</v>
      </c>
      <c r="Z67" s="1" t="s">
        <v>59</v>
      </c>
      <c r="AA67" s="3">
        <v>6.0</v>
      </c>
      <c r="AB67" s="1" t="s">
        <v>144</v>
      </c>
      <c r="AC67" s="3">
        <v>10.0</v>
      </c>
      <c r="AD67" s="3">
        <v>10.0</v>
      </c>
      <c r="AE67" s="5">
        <v>0.95</v>
      </c>
      <c r="AF67" s="3">
        <v>38.0</v>
      </c>
      <c r="AG67" s="3">
        <v>5.0</v>
      </c>
      <c r="AH67" s="3">
        <v>0.0</v>
      </c>
      <c r="AI67" s="3">
        <v>4.0</v>
      </c>
      <c r="AJ67" s="3">
        <v>0.0</v>
      </c>
      <c r="AK67" s="3">
        <v>1.0</v>
      </c>
      <c r="AL67" s="3">
        <v>4.0</v>
      </c>
    </row>
    <row r="68">
      <c r="A68" s="1" t="s">
        <v>38</v>
      </c>
      <c r="B68" s="3">
        <v>40322.0</v>
      </c>
      <c r="C68" s="6">
        <v>46026.0</v>
      </c>
      <c r="D68" s="3" t="s">
        <v>40</v>
      </c>
      <c r="E68" s="1" t="s">
        <v>41</v>
      </c>
      <c r="F68" s="3">
        <v>76520.0</v>
      </c>
      <c r="G68" s="1" t="s">
        <v>354</v>
      </c>
      <c r="H68" s="4">
        <v>45547.66155092593</v>
      </c>
      <c r="I68" s="1" t="s">
        <v>355</v>
      </c>
      <c r="J68" s="1" t="s">
        <v>356</v>
      </c>
      <c r="K68" s="1" t="s">
        <v>45</v>
      </c>
      <c r="L68" s="1" t="s">
        <v>46</v>
      </c>
      <c r="M68" s="1" t="s">
        <v>47</v>
      </c>
      <c r="N68" s="1" t="s">
        <v>357</v>
      </c>
      <c r="O68" s="1" t="s">
        <v>358</v>
      </c>
      <c r="P68" s="3" t="s">
        <v>128</v>
      </c>
      <c r="Q68" s="3" t="s">
        <v>51</v>
      </c>
      <c r="R68" s="3">
        <v>1783.0</v>
      </c>
      <c r="S68" s="1" t="s">
        <v>323</v>
      </c>
      <c r="T68" s="1" t="s">
        <v>53</v>
      </c>
      <c r="U68" s="1" t="s">
        <v>70</v>
      </c>
      <c r="V68" s="1" t="s">
        <v>71</v>
      </c>
      <c r="W68" s="1" t="s">
        <v>56</v>
      </c>
      <c r="X68" s="1" t="s">
        <v>72</v>
      </c>
      <c r="Y68" s="1" t="s">
        <v>58</v>
      </c>
      <c r="Z68" s="1" t="s">
        <v>59</v>
      </c>
      <c r="AA68" s="3">
        <v>8.0</v>
      </c>
      <c r="AB68" s="1" t="s">
        <v>82</v>
      </c>
      <c r="AC68" s="3">
        <v>36.0</v>
      </c>
      <c r="AD68" s="3">
        <v>36.0</v>
      </c>
      <c r="AE68" s="5">
        <v>0.9583</v>
      </c>
      <c r="AF68" s="3">
        <v>69.0</v>
      </c>
      <c r="AG68" s="3">
        <v>2.0</v>
      </c>
      <c r="AH68" s="3">
        <v>0.0</v>
      </c>
      <c r="AI68" s="3">
        <v>2.0</v>
      </c>
      <c r="AJ68" s="3">
        <v>0.0</v>
      </c>
      <c r="AK68" s="3">
        <v>0.0</v>
      </c>
      <c r="AL68" s="3">
        <v>2.0</v>
      </c>
    </row>
    <row r="69">
      <c r="A69" s="1" t="s">
        <v>38</v>
      </c>
      <c r="B69" s="3">
        <v>40250.0</v>
      </c>
      <c r="C69" s="6">
        <v>46026.0</v>
      </c>
      <c r="D69" s="3" t="s">
        <v>40</v>
      </c>
      <c r="E69" s="1" t="s">
        <v>41</v>
      </c>
      <c r="F69" s="3">
        <v>85118.0</v>
      </c>
      <c r="G69" s="1" t="s">
        <v>359</v>
      </c>
      <c r="H69" s="4">
        <v>45890.809386574074</v>
      </c>
      <c r="I69" s="1" t="s">
        <v>43</v>
      </c>
      <c r="J69" s="1" t="s">
        <v>360</v>
      </c>
      <c r="K69" s="1" t="s">
        <v>235</v>
      </c>
      <c r="L69" s="1" t="s">
        <v>46</v>
      </c>
      <c r="M69" s="1" t="s">
        <v>105</v>
      </c>
      <c r="N69" s="1" t="s">
        <v>361</v>
      </c>
      <c r="O69" s="1" t="s">
        <v>362</v>
      </c>
      <c r="P69" s="3" t="s">
        <v>178</v>
      </c>
      <c r="Q69" s="3" t="s">
        <v>51</v>
      </c>
      <c r="R69" s="3">
        <v>1785.0</v>
      </c>
      <c r="S69" s="1" t="s">
        <v>200</v>
      </c>
      <c r="T69" s="1" t="s">
        <v>53</v>
      </c>
      <c r="U69" s="1" t="s">
        <v>81</v>
      </c>
      <c r="V69" s="1" t="s">
        <v>71</v>
      </c>
      <c r="W69" s="1" t="s">
        <v>56</v>
      </c>
      <c r="X69" s="1" t="s">
        <v>72</v>
      </c>
      <c r="Y69" s="1" t="s">
        <v>58</v>
      </c>
      <c r="Z69" s="1" t="s">
        <v>59</v>
      </c>
      <c r="AA69" s="3">
        <v>7.0</v>
      </c>
      <c r="AB69" s="1" t="s">
        <v>60</v>
      </c>
      <c r="AC69" s="3">
        <v>24.0</v>
      </c>
      <c r="AD69" s="3">
        <v>24.0</v>
      </c>
      <c r="AE69" s="5">
        <v>0.6181</v>
      </c>
      <c r="AF69" s="3">
        <v>89.0</v>
      </c>
      <c r="AG69" s="3">
        <v>6.0</v>
      </c>
      <c r="AH69" s="3">
        <v>0.0</v>
      </c>
      <c r="AI69" s="3">
        <v>6.0</v>
      </c>
      <c r="AJ69" s="3">
        <v>0.0</v>
      </c>
      <c r="AK69" s="3">
        <v>0.0</v>
      </c>
      <c r="AL69" s="3">
        <v>6.0</v>
      </c>
    </row>
    <row r="70">
      <c r="A70" s="1" t="s">
        <v>38</v>
      </c>
      <c r="B70" s="3">
        <v>40339.0</v>
      </c>
      <c r="C70" s="6">
        <v>46026.0</v>
      </c>
      <c r="D70" s="3" t="s">
        <v>40</v>
      </c>
      <c r="E70" s="1" t="s">
        <v>41</v>
      </c>
      <c r="F70" s="3">
        <v>89719.0</v>
      </c>
      <c r="G70" s="1" t="s">
        <v>363</v>
      </c>
      <c r="H70" s="4">
        <v>46134.52402777778</v>
      </c>
      <c r="I70" s="1" t="s">
        <v>133</v>
      </c>
      <c r="J70" s="1" t="s">
        <v>151</v>
      </c>
      <c r="K70" s="1" t="s">
        <v>152</v>
      </c>
      <c r="L70" s="1" t="s">
        <v>46</v>
      </c>
      <c r="M70" s="1" t="s">
        <v>47</v>
      </c>
      <c r="N70" s="1" t="s">
        <v>245</v>
      </c>
      <c r="O70" s="1" t="s">
        <v>364</v>
      </c>
      <c r="P70" s="3" t="s">
        <v>88</v>
      </c>
      <c r="Q70" s="3" t="s">
        <v>88</v>
      </c>
      <c r="R70" s="3">
        <v>1786.0</v>
      </c>
      <c r="S70" s="1" t="s">
        <v>365</v>
      </c>
      <c r="T70" s="1" t="s">
        <v>53</v>
      </c>
      <c r="U70" s="1" t="s">
        <v>81</v>
      </c>
      <c r="V70" s="1" t="s">
        <v>71</v>
      </c>
      <c r="W70" s="1" t="s">
        <v>56</v>
      </c>
      <c r="X70" s="1" t="s">
        <v>72</v>
      </c>
      <c r="Y70" s="1" t="s">
        <v>58</v>
      </c>
      <c r="Z70" s="1" t="s">
        <v>59</v>
      </c>
      <c r="AA70" s="3">
        <v>7.0</v>
      </c>
      <c r="AB70" s="1" t="s">
        <v>257</v>
      </c>
      <c r="AC70" s="3">
        <v>10.0</v>
      </c>
      <c r="AD70" s="3">
        <v>10.0</v>
      </c>
      <c r="AE70" s="5">
        <v>0.9</v>
      </c>
      <c r="AF70" s="3">
        <v>9.0</v>
      </c>
      <c r="AG70" s="3">
        <v>1.0</v>
      </c>
      <c r="AH70" s="3">
        <v>0.0</v>
      </c>
      <c r="AI70" s="3">
        <v>1.0</v>
      </c>
      <c r="AJ70" s="3">
        <v>0.0</v>
      </c>
      <c r="AK70" s="3">
        <v>0.0</v>
      </c>
      <c r="AL70" s="3">
        <v>1.0</v>
      </c>
    </row>
    <row r="71">
      <c r="A71" s="1" t="s">
        <v>38</v>
      </c>
      <c r="B71" s="3">
        <v>40375.0</v>
      </c>
      <c r="C71" s="3" t="s">
        <v>39</v>
      </c>
      <c r="D71" s="3" t="s">
        <v>40</v>
      </c>
      <c r="E71" s="1" t="s">
        <v>41</v>
      </c>
      <c r="F71" s="3">
        <v>62094.0</v>
      </c>
      <c r="G71" s="1" t="s">
        <v>366</v>
      </c>
      <c r="H71" s="4">
        <v>44941.0393287037</v>
      </c>
      <c r="I71" s="1" t="s">
        <v>43</v>
      </c>
      <c r="J71" s="1" t="s">
        <v>367</v>
      </c>
      <c r="K71" s="1" t="s">
        <v>53</v>
      </c>
      <c r="L71" s="1" t="s">
        <v>46</v>
      </c>
      <c r="M71" s="1" t="s">
        <v>175</v>
      </c>
      <c r="N71" s="1" t="s">
        <v>368</v>
      </c>
      <c r="O71" s="1" t="s">
        <v>369</v>
      </c>
      <c r="P71" s="3" t="s">
        <v>155</v>
      </c>
      <c r="Q71" s="3" t="s">
        <v>88</v>
      </c>
      <c r="R71" s="3">
        <v>1945.0</v>
      </c>
      <c r="S71" s="1" t="s">
        <v>370</v>
      </c>
      <c r="T71" s="1" t="s">
        <v>53</v>
      </c>
      <c r="U71" s="1" t="s">
        <v>115</v>
      </c>
      <c r="V71" s="1" t="s">
        <v>55</v>
      </c>
      <c r="W71" s="1" t="s">
        <v>56</v>
      </c>
      <c r="X71" s="1" t="s">
        <v>57</v>
      </c>
      <c r="Y71" s="1" t="s">
        <v>58</v>
      </c>
      <c r="Z71" s="1" t="s">
        <v>59</v>
      </c>
      <c r="AA71" s="3">
        <v>8.0</v>
      </c>
      <c r="AB71" s="1" t="s">
        <v>60</v>
      </c>
      <c r="AC71" s="3">
        <v>47.0</v>
      </c>
      <c r="AD71" s="3">
        <v>35.0</v>
      </c>
      <c r="AE71" s="5">
        <v>0.7661</v>
      </c>
      <c r="AF71" s="3">
        <v>95.0</v>
      </c>
      <c r="AG71" s="3">
        <v>3.0</v>
      </c>
      <c r="AH71" s="3">
        <v>0.0</v>
      </c>
      <c r="AI71" s="3">
        <v>3.0</v>
      </c>
      <c r="AJ71" s="3">
        <v>0.0</v>
      </c>
      <c r="AK71" s="3">
        <v>0.0</v>
      </c>
      <c r="AL71" s="3">
        <v>3.0</v>
      </c>
    </row>
    <row r="72">
      <c r="A72" s="1" t="s">
        <v>38</v>
      </c>
      <c r="B72" s="3">
        <v>40298.0</v>
      </c>
      <c r="C72" s="6">
        <v>46026.0</v>
      </c>
      <c r="D72" s="3" t="s">
        <v>40</v>
      </c>
      <c r="E72" s="1" t="s">
        <v>41</v>
      </c>
      <c r="F72" s="3">
        <v>89802.0</v>
      </c>
      <c r="G72" s="1" t="s">
        <v>371</v>
      </c>
      <c r="H72" s="4">
        <v>46134.654131944444</v>
      </c>
      <c r="I72" s="1" t="s">
        <v>133</v>
      </c>
      <c r="J72" s="1" t="s">
        <v>97</v>
      </c>
      <c r="K72" s="1" t="s">
        <v>63</v>
      </c>
      <c r="L72" s="1" t="s">
        <v>46</v>
      </c>
      <c r="M72" s="1" t="s">
        <v>47</v>
      </c>
      <c r="N72" s="1" t="s">
        <v>245</v>
      </c>
      <c r="O72" s="1" t="s">
        <v>372</v>
      </c>
      <c r="P72" s="3" t="s">
        <v>100</v>
      </c>
      <c r="Q72" s="3" t="s">
        <v>88</v>
      </c>
      <c r="R72" s="3">
        <v>1778.0</v>
      </c>
      <c r="S72" s="1" t="s">
        <v>136</v>
      </c>
      <c r="T72" s="1" t="s">
        <v>53</v>
      </c>
      <c r="U72" s="1" t="s">
        <v>70</v>
      </c>
      <c r="V72" s="1" t="s">
        <v>71</v>
      </c>
      <c r="W72" s="1" t="s">
        <v>56</v>
      </c>
      <c r="X72" s="1" t="s">
        <v>72</v>
      </c>
      <c r="Y72" s="1" t="s">
        <v>58</v>
      </c>
      <c r="Z72" s="1" t="s">
        <v>59</v>
      </c>
      <c r="AA72" s="3">
        <v>6.0</v>
      </c>
      <c r="AB72" s="1" t="s">
        <v>82</v>
      </c>
      <c r="AC72" s="3">
        <v>12.0</v>
      </c>
      <c r="AD72" s="3">
        <v>12.0</v>
      </c>
      <c r="AE72" s="5">
        <v>0.7083</v>
      </c>
      <c r="AF72" s="3">
        <v>17.0</v>
      </c>
      <c r="AG72" s="3">
        <v>2.0</v>
      </c>
      <c r="AH72" s="3">
        <v>0.0</v>
      </c>
      <c r="AI72" s="3">
        <v>2.0</v>
      </c>
      <c r="AJ72" s="3">
        <v>0.0</v>
      </c>
      <c r="AK72" s="3">
        <v>0.0</v>
      </c>
      <c r="AL72" s="3">
        <v>2.0</v>
      </c>
    </row>
    <row r="73">
      <c r="A73" s="1" t="s">
        <v>38</v>
      </c>
      <c r="B73" s="3">
        <v>40359.0</v>
      </c>
      <c r="C73" s="6">
        <v>46026.0</v>
      </c>
      <c r="D73" s="3" t="s">
        <v>40</v>
      </c>
      <c r="E73" s="1" t="s">
        <v>41</v>
      </c>
      <c r="F73" s="3">
        <v>89874.0</v>
      </c>
      <c r="G73" s="1" t="s">
        <v>373</v>
      </c>
      <c r="H73" s="4">
        <v>46135.78319444445</v>
      </c>
      <c r="I73" s="1" t="s">
        <v>133</v>
      </c>
      <c r="J73" s="1" t="s">
        <v>374</v>
      </c>
      <c r="K73" s="1" t="s">
        <v>53</v>
      </c>
      <c r="L73" s="1" t="s">
        <v>46</v>
      </c>
      <c r="M73" s="1" t="s">
        <v>47</v>
      </c>
      <c r="N73" s="1" t="s">
        <v>348</v>
      </c>
      <c r="O73" s="1" t="s">
        <v>375</v>
      </c>
      <c r="P73" s="3" t="s">
        <v>100</v>
      </c>
      <c r="Q73" s="3" t="s">
        <v>128</v>
      </c>
      <c r="R73" s="3">
        <v>1793.0</v>
      </c>
      <c r="S73" s="1" t="s">
        <v>376</v>
      </c>
      <c r="T73" s="1" t="s">
        <v>53</v>
      </c>
      <c r="U73" s="1" t="s">
        <v>81</v>
      </c>
      <c r="V73" s="1" t="s">
        <v>71</v>
      </c>
      <c r="W73" s="1" t="s">
        <v>56</v>
      </c>
      <c r="X73" s="1" t="s">
        <v>72</v>
      </c>
      <c r="Y73" s="1" t="s">
        <v>58</v>
      </c>
      <c r="Z73" s="1" t="s">
        <v>59</v>
      </c>
      <c r="AA73" s="3">
        <v>7.0</v>
      </c>
      <c r="AB73" s="1" t="s">
        <v>257</v>
      </c>
      <c r="AC73" s="3">
        <v>17.0</v>
      </c>
      <c r="AD73" s="3">
        <v>17.0</v>
      </c>
      <c r="AE73" s="5">
        <v>0.9706</v>
      </c>
      <c r="AF73" s="3">
        <v>33.0</v>
      </c>
      <c r="AG73" s="3">
        <v>2.0</v>
      </c>
      <c r="AH73" s="3">
        <v>0.0</v>
      </c>
      <c r="AI73" s="3">
        <v>2.0</v>
      </c>
      <c r="AJ73" s="3">
        <v>0.0</v>
      </c>
      <c r="AK73" s="3">
        <v>0.0</v>
      </c>
      <c r="AL73" s="3">
        <v>2.0</v>
      </c>
    </row>
    <row r="74">
      <c r="A74" s="1" t="s">
        <v>38</v>
      </c>
      <c r="B74" s="3">
        <v>40399.0</v>
      </c>
      <c r="C74" s="3" t="s">
        <v>145</v>
      </c>
      <c r="D74" s="3" t="s">
        <v>146</v>
      </c>
      <c r="E74" s="1" t="s">
        <v>41</v>
      </c>
      <c r="F74" s="3">
        <v>85087.0</v>
      </c>
      <c r="G74" s="1" t="s">
        <v>377</v>
      </c>
      <c r="H74" s="4">
        <v>45890.63324074074</v>
      </c>
      <c r="I74" s="1" t="s">
        <v>378</v>
      </c>
      <c r="J74" s="1" t="s">
        <v>234</v>
      </c>
      <c r="K74" s="1" t="s">
        <v>235</v>
      </c>
      <c r="L74" s="1" t="s">
        <v>46</v>
      </c>
      <c r="M74" s="1" t="s">
        <v>47</v>
      </c>
      <c r="N74" s="1" t="s">
        <v>134</v>
      </c>
      <c r="O74" s="1" t="s">
        <v>379</v>
      </c>
      <c r="P74" s="3" t="s">
        <v>100</v>
      </c>
      <c r="Q74" s="3" t="s">
        <v>88</v>
      </c>
      <c r="R74" s="3">
        <v>1274.0</v>
      </c>
      <c r="S74" s="1" t="s">
        <v>147</v>
      </c>
      <c r="T74" s="1" t="s">
        <v>148</v>
      </c>
      <c r="U74" s="1" t="s">
        <v>149</v>
      </c>
      <c r="V74" s="1" t="s">
        <v>55</v>
      </c>
      <c r="W74" s="1" t="s">
        <v>56</v>
      </c>
      <c r="X74" s="1" t="s">
        <v>57</v>
      </c>
      <c r="Y74" s="1" t="s">
        <v>58</v>
      </c>
      <c r="Z74" s="1" t="s">
        <v>59</v>
      </c>
      <c r="AA74" s="3">
        <v>7.0</v>
      </c>
      <c r="AB74" s="1" t="s">
        <v>60</v>
      </c>
      <c r="AC74" s="3">
        <v>28.0</v>
      </c>
      <c r="AD74" s="3">
        <v>29.0</v>
      </c>
      <c r="AE74" s="5">
        <v>0.1724</v>
      </c>
      <c r="AF74" s="3">
        <v>10.0</v>
      </c>
      <c r="AG74" s="3">
        <v>2.0</v>
      </c>
      <c r="AH74" s="3">
        <v>0.0</v>
      </c>
      <c r="AI74" s="3">
        <v>0.0</v>
      </c>
      <c r="AJ74" s="3">
        <v>2.0</v>
      </c>
      <c r="AK74" s="3">
        <v>0.0</v>
      </c>
      <c r="AL74" s="3">
        <v>2.0</v>
      </c>
    </row>
    <row r="75">
      <c r="A75" s="1" t="s">
        <v>38</v>
      </c>
      <c r="B75" s="3">
        <v>40226.0</v>
      </c>
      <c r="C75" s="6">
        <v>46299.0</v>
      </c>
      <c r="D75" s="3" t="s">
        <v>83</v>
      </c>
      <c r="E75" s="1" t="s">
        <v>41</v>
      </c>
      <c r="F75" s="3">
        <v>74008.0</v>
      </c>
      <c r="G75" s="1" t="s">
        <v>380</v>
      </c>
      <c r="H75" s="4">
        <v>45480.766863425924</v>
      </c>
      <c r="I75" s="1" t="s">
        <v>43</v>
      </c>
      <c r="J75" s="1" t="s">
        <v>381</v>
      </c>
      <c r="K75" s="1" t="s">
        <v>53</v>
      </c>
      <c r="L75" s="1" t="s">
        <v>46</v>
      </c>
      <c r="M75" s="1" t="s">
        <v>264</v>
      </c>
      <c r="N75" s="1" t="s">
        <v>382</v>
      </c>
      <c r="O75" s="1" t="s">
        <v>383</v>
      </c>
      <c r="P75" s="3" t="s">
        <v>113</v>
      </c>
      <c r="Q75" s="3" t="s">
        <v>51</v>
      </c>
      <c r="R75" s="3">
        <v>1758.0</v>
      </c>
      <c r="S75" s="1" t="s">
        <v>185</v>
      </c>
      <c r="T75" s="1" t="s">
        <v>186</v>
      </c>
      <c r="U75" s="1" t="s">
        <v>187</v>
      </c>
      <c r="V75" s="1" t="s">
        <v>92</v>
      </c>
      <c r="W75" s="1" t="s">
        <v>93</v>
      </c>
      <c r="X75" s="1" t="s">
        <v>57</v>
      </c>
      <c r="Y75" s="1" t="s">
        <v>58</v>
      </c>
      <c r="Z75" s="1" t="s">
        <v>59</v>
      </c>
      <c r="AA75" s="3">
        <v>8.0</v>
      </c>
      <c r="AB75" s="1" t="s">
        <v>144</v>
      </c>
      <c r="AC75" s="3">
        <v>11.0</v>
      </c>
      <c r="AD75" s="3">
        <v>11.0</v>
      </c>
      <c r="AE75" s="5">
        <v>1.0</v>
      </c>
      <c r="AF75" s="3">
        <v>55.0</v>
      </c>
      <c r="AG75" s="3">
        <v>5.0</v>
      </c>
      <c r="AH75" s="3">
        <v>0.0</v>
      </c>
      <c r="AI75" s="3">
        <v>5.0</v>
      </c>
      <c r="AJ75" s="3">
        <v>0.0</v>
      </c>
      <c r="AK75" s="3">
        <v>0.0</v>
      </c>
      <c r="AL75" s="3">
        <v>5.0</v>
      </c>
    </row>
    <row r="76">
      <c r="A76" s="1" t="s">
        <v>38</v>
      </c>
      <c r="B76" s="3">
        <v>40260.0</v>
      </c>
      <c r="C76" s="3" t="s">
        <v>39</v>
      </c>
      <c r="D76" s="3" t="s">
        <v>83</v>
      </c>
      <c r="E76" s="1" t="s">
        <v>41</v>
      </c>
      <c r="F76" s="3">
        <v>89378.0</v>
      </c>
      <c r="G76" s="1" t="s">
        <v>384</v>
      </c>
      <c r="H76" s="4">
        <v>46116.53892361111</v>
      </c>
      <c r="I76" s="1" t="s">
        <v>43</v>
      </c>
      <c r="J76" s="1" t="s">
        <v>151</v>
      </c>
      <c r="K76" s="1" t="s">
        <v>152</v>
      </c>
      <c r="L76" s="1" t="s">
        <v>46</v>
      </c>
      <c r="M76" s="1" t="s">
        <v>47</v>
      </c>
      <c r="N76" s="1" t="s">
        <v>385</v>
      </c>
      <c r="O76" s="1" t="s">
        <v>386</v>
      </c>
      <c r="P76" s="3" t="s">
        <v>113</v>
      </c>
      <c r="Q76" s="3" t="s">
        <v>51</v>
      </c>
      <c r="R76" s="3">
        <v>1984.0</v>
      </c>
      <c r="S76" s="1" t="s">
        <v>89</v>
      </c>
      <c r="T76" s="1" t="s">
        <v>90</v>
      </c>
      <c r="U76" s="1" t="s">
        <v>91</v>
      </c>
      <c r="V76" s="1" t="s">
        <v>92</v>
      </c>
      <c r="W76" s="1" t="s">
        <v>93</v>
      </c>
      <c r="X76" s="1" t="s">
        <v>57</v>
      </c>
      <c r="Y76" s="1" t="s">
        <v>58</v>
      </c>
      <c r="Z76" s="1" t="s">
        <v>59</v>
      </c>
      <c r="AA76" s="3">
        <v>7.0</v>
      </c>
      <c r="AB76" s="1" t="s">
        <v>188</v>
      </c>
      <c r="AC76" s="3">
        <v>13.0</v>
      </c>
      <c r="AD76" s="3">
        <v>13.0</v>
      </c>
      <c r="AE76" s="5">
        <v>0.9423</v>
      </c>
      <c r="AF76" s="3">
        <v>49.0</v>
      </c>
      <c r="AG76" s="3">
        <v>5.0</v>
      </c>
      <c r="AH76" s="3">
        <v>0.0</v>
      </c>
      <c r="AI76" s="3">
        <v>4.0</v>
      </c>
      <c r="AJ76" s="3">
        <v>0.0</v>
      </c>
      <c r="AK76" s="3">
        <v>1.0</v>
      </c>
      <c r="AL76" s="3">
        <v>4.0</v>
      </c>
    </row>
    <row r="77">
      <c r="A77" s="1" t="s">
        <v>38</v>
      </c>
      <c r="B77" s="3">
        <v>40279.0</v>
      </c>
      <c r="C77" s="6">
        <v>46026.0</v>
      </c>
      <c r="D77" s="3" t="s">
        <v>40</v>
      </c>
      <c r="E77" s="1" t="s">
        <v>41</v>
      </c>
      <c r="F77" s="3">
        <v>82309.0</v>
      </c>
      <c r="G77" s="1" t="s">
        <v>387</v>
      </c>
      <c r="H77" s="4">
        <v>45835.428981481484</v>
      </c>
      <c r="I77" s="1" t="s">
        <v>43</v>
      </c>
      <c r="J77" s="1" t="s">
        <v>388</v>
      </c>
      <c r="K77" s="1" t="s">
        <v>389</v>
      </c>
      <c r="L77" s="1" t="s">
        <v>390</v>
      </c>
      <c r="M77" s="1" t="s">
        <v>391</v>
      </c>
      <c r="N77" s="1" t="s">
        <v>392</v>
      </c>
      <c r="O77" s="1" t="s">
        <v>393</v>
      </c>
      <c r="P77" s="3" t="s">
        <v>394</v>
      </c>
      <c r="Q77" s="3" t="s">
        <v>68</v>
      </c>
      <c r="R77" s="3">
        <v>1792.0</v>
      </c>
      <c r="S77" s="1" t="s">
        <v>266</v>
      </c>
      <c r="T77" s="1" t="s">
        <v>53</v>
      </c>
      <c r="U77" s="1" t="s">
        <v>81</v>
      </c>
      <c r="V77" s="1" t="s">
        <v>71</v>
      </c>
      <c r="W77" s="1" t="s">
        <v>56</v>
      </c>
      <c r="X77" s="1" t="s">
        <v>72</v>
      </c>
      <c r="Y77" s="1" t="s">
        <v>58</v>
      </c>
      <c r="Z77" s="1" t="s">
        <v>59</v>
      </c>
      <c r="AA77" s="3">
        <v>8.0</v>
      </c>
      <c r="AB77" s="1" t="s">
        <v>60</v>
      </c>
      <c r="AC77" s="3">
        <v>90.0</v>
      </c>
      <c r="AD77" s="3">
        <v>90.0</v>
      </c>
      <c r="AE77" s="5">
        <v>0.1667</v>
      </c>
      <c r="AF77" s="3">
        <v>30.0</v>
      </c>
      <c r="AG77" s="3">
        <v>2.0</v>
      </c>
      <c r="AH77" s="3">
        <v>0.0</v>
      </c>
      <c r="AI77" s="3">
        <v>2.0</v>
      </c>
      <c r="AJ77" s="3">
        <v>0.0</v>
      </c>
      <c r="AK77" s="3">
        <v>0.0</v>
      </c>
      <c r="AL77" s="3">
        <v>2.0</v>
      </c>
    </row>
    <row r="78">
      <c r="A78" s="1" t="s">
        <v>38</v>
      </c>
      <c r="B78" s="3">
        <v>40327.0</v>
      </c>
      <c r="C78" s="6">
        <v>46026.0</v>
      </c>
      <c r="D78" s="3" t="s">
        <v>40</v>
      </c>
      <c r="E78" s="1" t="s">
        <v>41</v>
      </c>
      <c r="F78" s="3">
        <v>89727.0</v>
      </c>
      <c r="G78" s="1" t="s">
        <v>395</v>
      </c>
      <c r="H78" s="4">
        <v>46134.52737268519</v>
      </c>
      <c r="I78" s="1" t="s">
        <v>133</v>
      </c>
      <c r="J78" s="1" t="s">
        <v>103</v>
      </c>
      <c r="K78" s="1" t="s">
        <v>104</v>
      </c>
      <c r="L78" s="1" t="s">
        <v>46</v>
      </c>
      <c r="M78" s="1" t="s">
        <v>47</v>
      </c>
      <c r="N78" s="1" t="s">
        <v>396</v>
      </c>
      <c r="O78" s="1" t="s">
        <v>397</v>
      </c>
      <c r="P78" s="3" t="s">
        <v>100</v>
      </c>
      <c r="Q78" s="3" t="s">
        <v>88</v>
      </c>
      <c r="R78" s="3">
        <v>1782.0</v>
      </c>
      <c r="S78" s="1" t="s">
        <v>273</v>
      </c>
      <c r="T78" s="1" t="s">
        <v>53</v>
      </c>
      <c r="U78" s="1" t="s">
        <v>70</v>
      </c>
      <c r="V78" s="1" t="s">
        <v>71</v>
      </c>
      <c r="W78" s="1" t="s">
        <v>56</v>
      </c>
      <c r="X78" s="1" t="s">
        <v>72</v>
      </c>
      <c r="Y78" s="1" t="s">
        <v>58</v>
      </c>
      <c r="Z78" s="1" t="s">
        <v>59</v>
      </c>
      <c r="AA78" s="3">
        <v>7.0</v>
      </c>
      <c r="AB78" s="1" t="s">
        <v>257</v>
      </c>
      <c r="AC78" s="3">
        <v>6.0</v>
      </c>
      <c r="AD78" s="3">
        <v>6.0</v>
      </c>
      <c r="AE78" s="5">
        <v>1.0</v>
      </c>
      <c r="AF78" s="3">
        <v>12.0</v>
      </c>
      <c r="AG78" s="3">
        <v>2.0</v>
      </c>
      <c r="AH78" s="3">
        <v>0.0</v>
      </c>
      <c r="AI78" s="3">
        <v>2.0</v>
      </c>
      <c r="AJ78" s="3">
        <v>0.0</v>
      </c>
      <c r="AK78" s="3">
        <v>0.0</v>
      </c>
      <c r="AL78" s="3">
        <v>2.0</v>
      </c>
    </row>
    <row r="79">
      <c r="A79" s="1" t="s">
        <v>38</v>
      </c>
      <c r="B79" s="3">
        <v>40360.0</v>
      </c>
      <c r="C79" s="6">
        <v>46026.0</v>
      </c>
      <c r="D79" s="3" t="s">
        <v>40</v>
      </c>
      <c r="E79" s="1" t="s">
        <v>41</v>
      </c>
      <c r="F79" s="3">
        <v>74030.0</v>
      </c>
      <c r="G79" s="1" t="s">
        <v>398</v>
      </c>
      <c r="H79" s="4">
        <v>45481.45217592592</v>
      </c>
      <c r="I79" s="1" t="s">
        <v>43</v>
      </c>
      <c r="J79" s="1" t="s">
        <v>275</v>
      </c>
      <c r="K79" s="1" t="s">
        <v>241</v>
      </c>
      <c r="L79" s="1" t="s">
        <v>46</v>
      </c>
      <c r="M79" s="1" t="s">
        <v>47</v>
      </c>
      <c r="N79" s="1" t="s">
        <v>399</v>
      </c>
      <c r="O79" s="1" t="s">
        <v>400</v>
      </c>
      <c r="P79" s="3" t="s">
        <v>88</v>
      </c>
      <c r="Q79" s="3" t="s">
        <v>51</v>
      </c>
      <c r="R79" s="3">
        <v>1793.0</v>
      </c>
      <c r="S79" s="1" t="s">
        <v>376</v>
      </c>
      <c r="T79" s="1" t="s">
        <v>53</v>
      </c>
      <c r="U79" s="1" t="s">
        <v>81</v>
      </c>
      <c r="V79" s="1" t="s">
        <v>71</v>
      </c>
      <c r="W79" s="1" t="s">
        <v>56</v>
      </c>
      <c r="X79" s="1" t="s">
        <v>72</v>
      </c>
      <c r="Y79" s="1" t="s">
        <v>58</v>
      </c>
      <c r="Z79" s="1" t="s">
        <v>59</v>
      </c>
      <c r="AA79" s="3">
        <v>8.0</v>
      </c>
      <c r="AB79" s="1" t="s">
        <v>82</v>
      </c>
      <c r="AC79" s="3">
        <v>29.0</v>
      </c>
      <c r="AD79" s="3">
        <v>29.0</v>
      </c>
      <c r="AE79" s="5">
        <v>0.931</v>
      </c>
      <c r="AF79" s="3">
        <v>54.0</v>
      </c>
      <c r="AG79" s="3">
        <v>2.0</v>
      </c>
      <c r="AH79" s="3">
        <v>0.0</v>
      </c>
      <c r="AI79" s="3">
        <v>2.0</v>
      </c>
      <c r="AJ79" s="3">
        <v>0.0</v>
      </c>
      <c r="AK79" s="3">
        <v>0.0</v>
      </c>
      <c r="AL79" s="3">
        <v>2.0</v>
      </c>
    </row>
    <row r="80">
      <c r="A80" s="1" t="s">
        <v>38</v>
      </c>
      <c r="B80" s="3">
        <v>40293.0</v>
      </c>
      <c r="C80" s="6">
        <v>46026.0</v>
      </c>
      <c r="D80" s="3" t="s">
        <v>40</v>
      </c>
      <c r="E80" s="1" t="s">
        <v>41</v>
      </c>
      <c r="F80" s="3">
        <v>89798.0</v>
      </c>
      <c r="G80" s="1" t="s">
        <v>401</v>
      </c>
      <c r="H80" s="4">
        <v>46134.64569444444</v>
      </c>
      <c r="I80" s="1" t="s">
        <v>133</v>
      </c>
      <c r="J80" s="1" t="s">
        <v>275</v>
      </c>
      <c r="K80" s="1" t="s">
        <v>241</v>
      </c>
      <c r="L80" s="1" t="s">
        <v>46</v>
      </c>
      <c r="M80" s="1" t="s">
        <v>47</v>
      </c>
      <c r="N80" s="1" t="s">
        <v>245</v>
      </c>
      <c r="O80" s="1" t="s">
        <v>402</v>
      </c>
      <c r="P80" s="3" t="s">
        <v>100</v>
      </c>
      <c r="Q80" s="3" t="s">
        <v>88</v>
      </c>
      <c r="R80" s="3">
        <v>1777.0</v>
      </c>
      <c r="S80" s="1" t="s">
        <v>121</v>
      </c>
      <c r="T80" s="1" t="s">
        <v>53</v>
      </c>
      <c r="U80" s="1" t="s">
        <v>81</v>
      </c>
      <c r="V80" s="1" t="s">
        <v>71</v>
      </c>
      <c r="W80" s="1" t="s">
        <v>56</v>
      </c>
      <c r="X80" s="1" t="s">
        <v>72</v>
      </c>
      <c r="Y80" s="1" t="s">
        <v>58</v>
      </c>
      <c r="Z80" s="1" t="s">
        <v>59</v>
      </c>
      <c r="AA80" s="3">
        <v>7.0</v>
      </c>
      <c r="AB80" s="1" t="s">
        <v>257</v>
      </c>
      <c r="AC80" s="3">
        <v>10.0</v>
      </c>
      <c r="AD80" s="3">
        <v>10.0</v>
      </c>
      <c r="AE80" s="5">
        <v>1.0</v>
      </c>
      <c r="AF80" s="3">
        <v>20.0</v>
      </c>
      <c r="AG80" s="3">
        <v>2.0</v>
      </c>
      <c r="AH80" s="3">
        <v>0.0</v>
      </c>
      <c r="AI80" s="3">
        <v>2.0</v>
      </c>
      <c r="AJ80" s="3">
        <v>0.0</v>
      </c>
      <c r="AK80" s="3">
        <v>0.0</v>
      </c>
      <c r="AL80" s="3">
        <v>2.0</v>
      </c>
    </row>
    <row r="81">
      <c r="A81" s="1" t="s">
        <v>38</v>
      </c>
      <c r="B81" s="3">
        <v>40380.0</v>
      </c>
      <c r="C81" s="3" t="s">
        <v>39</v>
      </c>
      <c r="D81" s="3" t="s">
        <v>40</v>
      </c>
      <c r="E81" s="1" t="s">
        <v>41</v>
      </c>
      <c r="F81" s="3">
        <v>86198.0</v>
      </c>
      <c r="G81" s="1" t="s">
        <v>403</v>
      </c>
      <c r="H81" s="4">
        <v>45930.76447916667</v>
      </c>
      <c r="I81" s="1" t="s">
        <v>43</v>
      </c>
      <c r="J81" s="1" t="s">
        <v>404</v>
      </c>
      <c r="K81" s="1" t="s">
        <v>63</v>
      </c>
      <c r="L81" s="1" t="s">
        <v>46</v>
      </c>
      <c r="M81" s="1" t="s">
        <v>64</v>
      </c>
      <c r="N81" s="1" t="s">
        <v>65</v>
      </c>
      <c r="O81" s="1" t="s">
        <v>405</v>
      </c>
      <c r="P81" s="3" t="s">
        <v>50</v>
      </c>
      <c r="Q81" s="3" t="s">
        <v>51</v>
      </c>
      <c r="R81" s="3">
        <v>1944.0</v>
      </c>
      <c r="S81" s="1" t="s">
        <v>317</v>
      </c>
      <c r="T81" s="1" t="s">
        <v>53</v>
      </c>
      <c r="U81" s="1" t="s">
        <v>115</v>
      </c>
      <c r="V81" s="1" t="s">
        <v>55</v>
      </c>
      <c r="W81" s="1" t="s">
        <v>56</v>
      </c>
      <c r="X81" s="1" t="s">
        <v>57</v>
      </c>
      <c r="Y81" s="1" t="s">
        <v>58</v>
      </c>
      <c r="Z81" s="1" t="s">
        <v>59</v>
      </c>
      <c r="AA81" s="3">
        <v>7.0</v>
      </c>
      <c r="AB81" s="1" t="s">
        <v>60</v>
      </c>
      <c r="AC81" s="3">
        <v>28.0</v>
      </c>
      <c r="AD81" s="3">
        <v>28.0</v>
      </c>
      <c r="AE81" s="5">
        <v>0.6377</v>
      </c>
      <c r="AF81" s="3">
        <v>44.0</v>
      </c>
      <c r="AG81" s="3">
        <v>3.0</v>
      </c>
      <c r="AH81" s="3">
        <v>0.0</v>
      </c>
      <c r="AI81" s="3">
        <v>3.0</v>
      </c>
      <c r="AJ81" s="3">
        <v>0.0</v>
      </c>
      <c r="AK81" s="3">
        <v>0.0</v>
      </c>
      <c r="AL81" s="3">
        <v>3.0</v>
      </c>
    </row>
    <row r="82">
      <c r="A82" s="1" t="s">
        <v>38</v>
      </c>
      <c r="B82" s="3">
        <v>40255.0</v>
      </c>
      <c r="C82" s="6">
        <v>46026.0</v>
      </c>
      <c r="D82" s="3" t="s">
        <v>40</v>
      </c>
      <c r="E82" s="1" t="s">
        <v>41</v>
      </c>
      <c r="F82" s="3">
        <v>88681.0</v>
      </c>
      <c r="G82" s="1" t="s">
        <v>406</v>
      </c>
      <c r="H82" s="4">
        <v>46069.842673611114</v>
      </c>
      <c r="I82" s="1" t="s">
        <v>43</v>
      </c>
      <c r="J82" s="1" t="s">
        <v>407</v>
      </c>
      <c r="K82" s="1" t="s">
        <v>203</v>
      </c>
      <c r="L82" s="1" t="s">
        <v>46</v>
      </c>
      <c r="M82" s="1" t="s">
        <v>105</v>
      </c>
      <c r="N82" s="1" t="s">
        <v>408</v>
      </c>
      <c r="O82" s="1" t="s">
        <v>409</v>
      </c>
      <c r="P82" s="3" t="s">
        <v>178</v>
      </c>
      <c r="Q82" s="3" t="s">
        <v>51</v>
      </c>
      <c r="R82" s="3">
        <v>1784.0</v>
      </c>
      <c r="S82" s="1" t="s">
        <v>328</v>
      </c>
      <c r="T82" s="1" t="s">
        <v>53</v>
      </c>
      <c r="U82" s="1" t="s">
        <v>81</v>
      </c>
      <c r="V82" s="1" t="s">
        <v>71</v>
      </c>
      <c r="W82" s="1" t="s">
        <v>56</v>
      </c>
      <c r="X82" s="1" t="s">
        <v>72</v>
      </c>
      <c r="Y82" s="1" t="s">
        <v>58</v>
      </c>
      <c r="Z82" s="1" t="s">
        <v>59</v>
      </c>
      <c r="AA82" s="3">
        <v>6.0</v>
      </c>
      <c r="AB82" s="1" t="s">
        <v>60</v>
      </c>
      <c r="AC82" s="3">
        <v>10.0</v>
      </c>
      <c r="AD82" s="3">
        <v>10.0</v>
      </c>
      <c r="AE82" s="5">
        <v>0.95</v>
      </c>
      <c r="AF82" s="3">
        <v>57.0</v>
      </c>
      <c r="AG82" s="3">
        <v>6.0</v>
      </c>
      <c r="AH82" s="3">
        <v>0.0</v>
      </c>
      <c r="AI82" s="3">
        <v>6.0</v>
      </c>
      <c r="AJ82" s="3">
        <v>0.0</v>
      </c>
      <c r="AK82" s="3">
        <v>0.0</v>
      </c>
      <c r="AL82" s="3">
        <v>6.0</v>
      </c>
    </row>
    <row r="83">
      <c r="A83" s="1" t="s">
        <v>38</v>
      </c>
      <c r="B83" s="3">
        <v>40414.0</v>
      </c>
      <c r="C83" s="3" t="s">
        <v>145</v>
      </c>
      <c r="D83" s="3" t="s">
        <v>146</v>
      </c>
      <c r="E83" s="1" t="s">
        <v>41</v>
      </c>
      <c r="F83" s="3">
        <v>83107.0</v>
      </c>
      <c r="G83" s="1" t="s">
        <v>410</v>
      </c>
      <c r="H83" s="4">
        <v>45848.46466435185</v>
      </c>
      <c r="I83" s="1" t="s">
        <v>196</v>
      </c>
      <c r="J83" s="1" t="s">
        <v>411</v>
      </c>
      <c r="K83" s="1" t="s">
        <v>198</v>
      </c>
      <c r="L83" s="1" t="s">
        <v>46</v>
      </c>
      <c r="M83" s="1" t="s">
        <v>47</v>
      </c>
      <c r="N83" s="1" t="s">
        <v>412</v>
      </c>
      <c r="O83" s="1" t="s">
        <v>413</v>
      </c>
      <c r="P83" s="3" t="s">
        <v>113</v>
      </c>
      <c r="Q83" s="3" t="s">
        <v>51</v>
      </c>
      <c r="R83" s="3">
        <v>125.0</v>
      </c>
      <c r="S83" s="1" t="s">
        <v>228</v>
      </c>
      <c r="T83" s="1" t="s">
        <v>148</v>
      </c>
      <c r="U83" s="1" t="s">
        <v>157</v>
      </c>
      <c r="V83" s="1" t="s">
        <v>55</v>
      </c>
      <c r="W83" s="1" t="s">
        <v>56</v>
      </c>
      <c r="X83" s="1" t="s">
        <v>57</v>
      </c>
      <c r="Y83" s="1" t="s">
        <v>58</v>
      </c>
      <c r="Z83" s="1" t="s">
        <v>59</v>
      </c>
      <c r="AA83" s="3">
        <v>8.0</v>
      </c>
      <c r="AB83" s="1" t="s">
        <v>60</v>
      </c>
      <c r="AC83" s="3">
        <v>35.0</v>
      </c>
      <c r="AD83" s="3">
        <v>35.0</v>
      </c>
      <c r="AE83" s="5">
        <v>0.8971</v>
      </c>
      <c r="AF83" s="3">
        <v>157.0</v>
      </c>
      <c r="AG83" s="3">
        <v>5.0</v>
      </c>
      <c r="AH83" s="3">
        <v>0.0</v>
      </c>
      <c r="AI83" s="3">
        <v>5.0</v>
      </c>
      <c r="AJ83" s="3">
        <v>0.0</v>
      </c>
      <c r="AK83" s="3">
        <v>0.0</v>
      </c>
      <c r="AL83" s="3">
        <v>5.0</v>
      </c>
    </row>
    <row r="84">
      <c r="A84" s="1" t="s">
        <v>38</v>
      </c>
      <c r="B84" s="3">
        <v>40416.0</v>
      </c>
      <c r="C84" s="3" t="s">
        <v>145</v>
      </c>
      <c r="D84" s="3" t="s">
        <v>146</v>
      </c>
      <c r="E84" s="1" t="s">
        <v>41</v>
      </c>
      <c r="F84" s="3">
        <v>83107.0</v>
      </c>
      <c r="G84" s="1" t="s">
        <v>410</v>
      </c>
      <c r="H84" s="4">
        <v>45848.46466435185</v>
      </c>
      <c r="I84" s="1" t="s">
        <v>196</v>
      </c>
      <c r="J84" s="1" t="s">
        <v>411</v>
      </c>
      <c r="K84" s="1" t="s">
        <v>198</v>
      </c>
      <c r="L84" s="1" t="s">
        <v>46</v>
      </c>
      <c r="M84" s="1" t="s">
        <v>47</v>
      </c>
      <c r="N84" s="1" t="s">
        <v>412</v>
      </c>
      <c r="O84" s="1" t="s">
        <v>413</v>
      </c>
      <c r="P84" s="3" t="s">
        <v>113</v>
      </c>
      <c r="Q84" s="3" t="s">
        <v>51</v>
      </c>
      <c r="R84" s="3">
        <v>126.0</v>
      </c>
      <c r="S84" s="1" t="s">
        <v>229</v>
      </c>
      <c r="T84" s="1" t="s">
        <v>148</v>
      </c>
      <c r="U84" s="1" t="s">
        <v>157</v>
      </c>
      <c r="V84" s="1" t="s">
        <v>55</v>
      </c>
      <c r="W84" s="1" t="s">
        <v>56</v>
      </c>
      <c r="X84" s="1" t="s">
        <v>57</v>
      </c>
      <c r="Y84" s="1" t="s">
        <v>58</v>
      </c>
      <c r="Z84" s="1" t="s">
        <v>59</v>
      </c>
      <c r="AA84" s="3">
        <v>8.0</v>
      </c>
      <c r="AB84" s="1" t="s">
        <v>60</v>
      </c>
      <c r="AC84" s="3">
        <v>40.0</v>
      </c>
      <c r="AD84" s="3">
        <v>40.0</v>
      </c>
      <c r="AE84" s="5">
        <v>0.885</v>
      </c>
      <c r="AF84" s="3">
        <v>177.0</v>
      </c>
      <c r="AG84" s="3">
        <v>5.0</v>
      </c>
      <c r="AH84" s="3">
        <v>0.0</v>
      </c>
      <c r="AI84" s="3">
        <v>5.0</v>
      </c>
      <c r="AJ84" s="3">
        <v>0.0</v>
      </c>
      <c r="AK84" s="3">
        <v>0.0</v>
      </c>
      <c r="AL84" s="3">
        <v>5.0</v>
      </c>
    </row>
    <row r="85">
      <c r="A85" s="1" t="s">
        <v>38</v>
      </c>
      <c r="B85" s="3">
        <v>40430.0</v>
      </c>
      <c r="C85" s="3" t="s">
        <v>193</v>
      </c>
      <c r="D85" s="3" t="s">
        <v>95</v>
      </c>
      <c r="E85" s="1" t="s">
        <v>41</v>
      </c>
      <c r="F85" s="3">
        <v>59903.0</v>
      </c>
      <c r="G85" s="1" t="s">
        <v>414</v>
      </c>
      <c r="H85" s="4">
        <v>44811.35487268519</v>
      </c>
      <c r="I85" s="1" t="s">
        <v>415</v>
      </c>
      <c r="J85" s="1" t="s">
        <v>85</v>
      </c>
      <c r="K85" s="1" t="s">
        <v>63</v>
      </c>
      <c r="L85" s="1" t="s">
        <v>46</v>
      </c>
      <c r="M85" s="7"/>
      <c r="N85" s="7"/>
      <c r="O85" s="1" t="s">
        <v>416</v>
      </c>
      <c r="P85" s="3" t="s">
        <v>193</v>
      </c>
      <c r="Q85" s="3" t="s">
        <v>128</v>
      </c>
      <c r="R85" s="3">
        <v>1324.0</v>
      </c>
      <c r="S85" s="1" t="s">
        <v>417</v>
      </c>
      <c r="T85" s="1" t="s">
        <v>63</v>
      </c>
      <c r="V85" s="7"/>
      <c r="W85" s="1" t="s">
        <v>56</v>
      </c>
      <c r="X85" s="1" t="s">
        <v>57</v>
      </c>
      <c r="Y85" s="1" t="s">
        <v>418</v>
      </c>
      <c r="Z85" s="1" t="s">
        <v>419</v>
      </c>
      <c r="AA85" s="3">
        <v>6.0</v>
      </c>
      <c r="AB85" s="1" t="s">
        <v>94</v>
      </c>
      <c r="AC85" s="3">
        <v>27.0</v>
      </c>
      <c r="AD85" s="3">
        <v>27.0</v>
      </c>
      <c r="AE85" s="5">
        <v>0.6296</v>
      </c>
      <c r="AF85" s="3">
        <v>68.0</v>
      </c>
      <c r="AG85" s="3">
        <v>4.0</v>
      </c>
      <c r="AH85" s="3">
        <v>0.0</v>
      </c>
      <c r="AI85" s="3">
        <v>4.0</v>
      </c>
      <c r="AJ85" s="3">
        <v>0.0</v>
      </c>
      <c r="AK85" s="3">
        <v>0.0</v>
      </c>
      <c r="AL85" s="3">
        <v>4.0</v>
      </c>
    </row>
    <row r="86">
      <c r="A86" s="1" t="s">
        <v>38</v>
      </c>
      <c r="B86" s="3">
        <v>40431.0</v>
      </c>
      <c r="C86" s="3" t="s">
        <v>193</v>
      </c>
      <c r="D86" s="3" t="s">
        <v>95</v>
      </c>
      <c r="E86" s="1" t="s">
        <v>41</v>
      </c>
      <c r="F86" s="3">
        <v>59903.0</v>
      </c>
      <c r="G86" s="1" t="s">
        <v>414</v>
      </c>
      <c r="H86" s="4">
        <v>44811.35487268519</v>
      </c>
      <c r="I86" s="1" t="s">
        <v>415</v>
      </c>
      <c r="J86" s="1" t="s">
        <v>85</v>
      </c>
      <c r="K86" s="1" t="s">
        <v>63</v>
      </c>
      <c r="L86" s="1" t="s">
        <v>46</v>
      </c>
      <c r="M86" s="7"/>
      <c r="N86" s="7"/>
      <c r="O86" s="1" t="s">
        <v>416</v>
      </c>
      <c r="P86" s="3" t="s">
        <v>155</v>
      </c>
      <c r="Q86" s="3" t="s">
        <v>51</v>
      </c>
      <c r="R86" s="3">
        <v>1324.0</v>
      </c>
      <c r="S86" s="1" t="s">
        <v>417</v>
      </c>
      <c r="T86" s="1" t="s">
        <v>63</v>
      </c>
      <c r="V86" s="7"/>
      <c r="W86" s="1" t="s">
        <v>56</v>
      </c>
      <c r="X86" s="1" t="s">
        <v>57</v>
      </c>
      <c r="Y86" s="1" t="s">
        <v>418</v>
      </c>
      <c r="Z86" s="1" t="s">
        <v>59</v>
      </c>
      <c r="AA86" s="3">
        <v>6.0</v>
      </c>
      <c r="AB86" s="1" t="s">
        <v>144</v>
      </c>
      <c r="AC86" s="3">
        <v>27.0</v>
      </c>
      <c r="AD86" s="3">
        <v>27.0</v>
      </c>
      <c r="AE86" s="5">
        <v>0.6852</v>
      </c>
      <c r="AF86" s="3">
        <v>74.0</v>
      </c>
      <c r="AG86" s="3">
        <v>4.0</v>
      </c>
      <c r="AH86" s="3">
        <v>0.0</v>
      </c>
      <c r="AI86" s="3">
        <v>4.0</v>
      </c>
      <c r="AJ86" s="3">
        <v>0.0</v>
      </c>
      <c r="AK86" s="3">
        <v>0.0</v>
      </c>
      <c r="AL86" s="3">
        <v>4.0</v>
      </c>
    </row>
    <row r="87">
      <c r="A87" s="1" t="s">
        <v>38</v>
      </c>
      <c r="B87" s="3">
        <v>40432.0</v>
      </c>
      <c r="C87" s="3" t="s">
        <v>193</v>
      </c>
      <c r="D87" s="3" t="s">
        <v>95</v>
      </c>
      <c r="E87" s="1" t="s">
        <v>41</v>
      </c>
      <c r="F87" s="3">
        <v>59903.0</v>
      </c>
      <c r="G87" s="1" t="s">
        <v>414</v>
      </c>
      <c r="H87" s="4">
        <v>44811.35487268519</v>
      </c>
      <c r="I87" s="1" t="s">
        <v>415</v>
      </c>
      <c r="J87" s="1" t="s">
        <v>85</v>
      </c>
      <c r="K87" s="1" t="s">
        <v>63</v>
      </c>
      <c r="L87" s="1" t="s">
        <v>46</v>
      </c>
      <c r="M87" s="7"/>
      <c r="N87" s="7"/>
      <c r="O87" s="1" t="s">
        <v>416</v>
      </c>
      <c r="P87" s="3" t="s">
        <v>394</v>
      </c>
      <c r="Q87" s="3" t="s">
        <v>68</v>
      </c>
      <c r="R87" s="3">
        <v>1324.0</v>
      </c>
      <c r="S87" s="1" t="s">
        <v>417</v>
      </c>
      <c r="T87" s="1" t="s">
        <v>63</v>
      </c>
      <c r="V87" s="7"/>
      <c r="W87" s="1" t="s">
        <v>56</v>
      </c>
      <c r="X87" s="1" t="s">
        <v>57</v>
      </c>
      <c r="Y87" s="1" t="s">
        <v>418</v>
      </c>
      <c r="Z87" s="1" t="s">
        <v>419</v>
      </c>
      <c r="AA87" s="3">
        <v>6.0</v>
      </c>
      <c r="AB87" s="1" t="s">
        <v>188</v>
      </c>
      <c r="AC87" s="3">
        <v>27.0</v>
      </c>
      <c r="AD87" s="3">
        <v>27.0</v>
      </c>
      <c r="AE87" s="5">
        <v>0.7037</v>
      </c>
      <c r="AF87" s="3">
        <v>38.0</v>
      </c>
      <c r="AG87" s="3">
        <v>2.0</v>
      </c>
      <c r="AH87" s="3">
        <v>0.0</v>
      </c>
      <c r="AI87" s="3">
        <v>2.0</v>
      </c>
      <c r="AJ87" s="3">
        <v>0.0</v>
      </c>
      <c r="AK87" s="3">
        <v>0.0</v>
      </c>
      <c r="AL87" s="3">
        <v>2.0</v>
      </c>
    </row>
    <row r="88">
      <c r="A88" s="1" t="s">
        <v>38</v>
      </c>
      <c r="B88" s="3">
        <v>40433.0</v>
      </c>
      <c r="C88" s="3" t="s">
        <v>193</v>
      </c>
      <c r="D88" s="3" t="s">
        <v>95</v>
      </c>
      <c r="E88" s="1" t="s">
        <v>41</v>
      </c>
      <c r="F88" s="3">
        <v>59903.0</v>
      </c>
      <c r="G88" s="1" t="s">
        <v>414</v>
      </c>
      <c r="H88" s="4">
        <v>44811.35487268519</v>
      </c>
      <c r="I88" s="1" t="s">
        <v>415</v>
      </c>
      <c r="J88" s="1" t="s">
        <v>85</v>
      </c>
      <c r="K88" s="1" t="s">
        <v>63</v>
      </c>
      <c r="L88" s="1" t="s">
        <v>46</v>
      </c>
      <c r="M88" s="7"/>
      <c r="N88" s="7"/>
      <c r="O88" s="1" t="s">
        <v>416</v>
      </c>
      <c r="P88" s="3" t="s">
        <v>193</v>
      </c>
      <c r="Q88" s="3" t="s">
        <v>128</v>
      </c>
      <c r="R88" s="3">
        <v>1324.0</v>
      </c>
      <c r="S88" s="1" t="s">
        <v>417</v>
      </c>
      <c r="T88" s="1" t="s">
        <v>63</v>
      </c>
      <c r="V88" s="7"/>
      <c r="W88" s="1" t="s">
        <v>56</v>
      </c>
      <c r="X88" s="1" t="s">
        <v>57</v>
      </c>
      <c r="Y88" s="1" t="s">
        <v>418</v>
      </c>
      <c r="Z88" s="1" t="s">
        <v>59</v>
      </c>
      <c r="AA88" s="3">
        <v>7.0</v>
      </c>
      <c r="AB88" s="1" t="s">
        <v>144</v>
      </c>
      <c r="AC88" s="3">
        <v>4.0</v>
      </c>
      <c r="AD88" s="3">
        <v>4.0</v>
      </c>
      <c r="AE88" s="5">
        <v>1.0</v>
      </c>
      <c r="AF88" s="3">
        <v>16.0</v>
      </c>
      <c r="AG88" s="3">
        <v>4.0</v>
      </c>
      <c r="AH88" s="3">
        <v>0.0</v>
      </c>
      <c r="AI88" s="3">
        <v>4.0</v>
      </c>
      <c r="AJ88" s="3">
        <v>0.0</v>
      </c>
      <c r="AK88" s="3">
        <v>0.0</v>
      </c>
      <c r="AL88" s="3">
        <v>4.0</v>
      </c>
    </row>
    <row r="89">
      <c r="A89" s="1" t="s">
        <v>38</v>
      </c>
      <c r="B89" s="3">
        <v>40434.0</v>
      </c>
      <c r="C89" s="3" t="s">
        <v>193</v>
      </c>
      <c r="D89" s="3" t="s">
        <v>95</v>
      </c>
      <c r="E89" s="1" t="s">
        <v>41</v>
      </c>
      <c r="F89" s="3">
        <v>59903.0</v>
      </c>
      <c r="G89" s="1" t="s">
        <v>414</v>
      </c>
      <c r="H89" s="4">
        <v>44811.35487268519</v>
      </c>
      <c r="I89" s="1" t="s">
        <v>415</v>
      </c>
      <c r="J89" s="1" t="s">
        <v>85</v>
      </c>
      <c r="K89" s="1" t="s">
        <v>63</v>
      </c>
      <c r="L89" s="1" t="s">
        <v>46</v>
      </c>
      <c r="M89" s="7"/>
      <c r="N89" s="7"/>
      <c r="O89" s="1" t="s">
        <v>416</v>
      </c>
      <c r="P89" s="3" t="s">
        <v>155</v>
      </c>
      <c r="Q89" s="3" t="s">
        <v>51</v>
      </c>
      <c r="R89" s="3">
        <v>1324.0</v>
      </c>
      <c r="S89" s="1" t="s">
        <v>417</v>
      </c>
      <c r="T89" s="1" t="s">
        <v>63</v>
      </c>
      <c r="V89" s="7"/>
      <c r="W89" s="1" t="s">
        <v>56</v>
      </c>
      <c r="X89" s="1" t="s">
        <v>57</v>
      </c>
      <c r="Y89" s="1" t="s">
        <v>418</v>
      </c>
      <c r="Z89" s="1" t="s">
        <v>419</v>
      </c>
      <c r="AA89" s="3">
        <v>7.0</v>
      </c>
      <c r="AB89" s="1" t="s">
        <v>94</v>
      </c>
      <c r="AC89" s="3">
        <v>4.0</v>
      </c>
      <c r="AD89" s="3">
        <v>4.0</v>
      </c>
      <c r="AE89" s="5">
        <v>1.0</v>
      </c>
      <c r="AF89" s="3">
        <v>16.0</v>
      </c>
      <c r="AG89" s="3">
        <v>4.0</v>
      </c>
      <c r="AH89" s="3">
        <v>0.0</v>
      </c>
      <c r="AI89" s="3">
        <v>4.0</v>
      </c>
      <c r="AJ89" s="3">
        <v>0.0</v>
      </c>
      <c r="AK89" s="3">
        <v>0.0</v>
      </c>
      <c r="AL89" s="3">
        <v>4.0</v>
      </c>
    </row>
    <row r="90">
      <c r="A90" s="1" t="s">
        <v>38</v>
      </c>
      <c r="B90" s="3">
        <v>40435.0</v>
      </c>
      <c r="C90" s="3" t="s">
        <v>193</v>
      </c>
      <c r="D90" s="3" t="s">
        <v>95</v>
      </c>
      <c r="E90" s="1" t="s">
        <v>41</v>
      </c>
      <c r="F90" s="3">
        <v>59903.0</v>
      </c>
      <c r="G90" s="1" t="s">
        <v>414</v>
      </c>
      <c r="H90" s="4">
        <v>44811.35487268519</v>
      </c>
      <c r="I90" s="1" t="s">
        <v>415</v>
      </c>
      <c r="J90" s="1" t="s">
        <v>85</v>
      </c>
      <c r="K90" s="1" t="s">
        <v>63</v>
      </c>
      <c r="L90" s="1" t="s">
        <v>46</v>
      </c>
      <c r="M90" s="7"/>
      <c r="N90" s="7"/>
      <c r="O90" s="1" t="s">
        <v>416</v>
      </c>
      <c r="P90" s="3" t="s">
        <v>394</v>
      </c>
      <c r="Q90" s="3" t="s">
        <v>68</v>
      </c>
      <c r="R90" s="3">
        <v>1324.0</v>
      </c>
      <c r="S90" s="1" t="s">
        <v>417</v>
      </c>
      <c r="T90" s="1" t="s">
        <v>63</v>
      </c>
      <c r="V90" s="7"/>
      <c r="W90" s="1" t="s">
        <v>56</v>
      </c>
      <c r="X90" s="1" t="s">
        <v>57</v>
      </c>
      <c r="Y90" s="1" t="s">
        <v>418</v>
      </c>
      <c r="Z90" s="1" t="s">
        <v>419</v>
      </c>
      <c r="AA90" s="3">
        <v>7.0</v>
      </c>
      <c r="AB90" s="1" t="s">
        <v>188</v>
      </c>
      <c r="AC90" s="3">
        <v>4.0</v>
      </c>
      <c r="AD90" s="3">
        <v>4.0</v>
      </c>
      <c r="AE90" s="5">
        <v>1.0</v>
      </c>
      <c r="AF90" s="3">
        <v>8.0</v>
      </c>
      <c r="AG90" s="3">
        <v>2.0</v>
      </c>
      <c r="AH90" s="3">
        <v>0.0</v>
      </c>
      <c r="AI90" s="3">
        <v>2.0</v>
      </c>
      <c r="AJ90" s="3">
        <v>0.0</v>
      </c>
      <c r="AK90" s="3">
        <v>0.0</v>
      </c>
      <c r="AL90" s="3">
        <v>2.0</v>
      </c>
    </row>
    <row r="91">
      <c r="A91" s="1" t="s">
        <v>38</v>
      </c>
      <c r="B91" s="3">
        <v>40389.0</v>
      </c>
      <c r="C91" s="3" t="s">
        <v>145</v>
      </c>
      <c r="D91" s="3" t="s">
        <v>146</v>
      </c>
      <c r="E91" s="1" t="s">
        <v>41</v>
      </c>
      <c r="F91" s="3">
        <v>74909.0</v>
      </c>
      <c r="G91" s="1" t="s">
        <v>420</v>
      </c>
      <c r="H91" s="4">
        <v>45495.876759259256</v>
      </c>
      <c r="I91" s="1" t="s">
        <v>421</v>
      </c>
      <c r="J91" s="1" t="s">
        <v>422</v>
      </c>
      <c r="K91" s="1" t="s">
        <v>148</v>
      </c>
      <c r="L91" s="1" t="s">
        <v>46</v>
      </c>
      <c r="M91" s="1" t="s">
        <v>47</v>
      </c>
      <c r="N91" s="1" t="s">
        <v>423</v>
      </c>
      <c r="O91" s="1" t="s">
        <v>424</v>
      </c>
      <c r="P91" s="3" t="s">
        <v>113</v>
      </c>
      <c r="Q91" s="3" t="s">
        <v>51</v>
      </c>
      <c r="R91" s="3">
        <v>82.0</v>
      </c>
      <c r="S91" s="1" t="s">
        <v>345</v>
      </c>
      <c r="T91" s="1" t="s">
        <v>148</v>
      </c>
      <c r="U91" s="1" t="s">
        <v>149</v>
      </c>
      <c r="V91" s="1" t="s">
        <v>55</v>
      </c>
      <c r="W91" s="1" t="s">
        <v>56</v>
      </c>
      <c r="X91" s="1" t="s">
        <v>57</v>
      </c>
      <c r="Y91" s="1" t="s">
        <v>58</v>
      </c>
      <c r="Z91" s="1" t="s">
        <v>59</v>
      </c>
      <c r="AA91" s="3">
        <v>8.0</v>
      </c>
      <c r="AB91" s="1" t="s">
        <v>60</v>
      </c>
      <c r="AC91" s="3">
        <v>35.0</v>
      </c>
      <c r="AD91" s="3">
        <v>35.0</v>
      </c>
      <c r="AE91" s="5">
        <v>0.7419</v>
      </c>
      <c r="AF91" s="3">
        <v>138.0</v>
      </c>
      <c r="AG91" s="3">
        <v>5.0</v>
      </c>
      <c r="AH91" s="3">
        <v>0.0</v>
      </c>
      <c r="AI91" s="3">
        <v>5.0</v>
      </c>
      <c r="AJ91" s="3">
        <v>0.0</v>
      </c>
      <c r="AK91" s="3">
        <v>0.0</v>
      </c>
      <c r="AL91" s="3">
        <v>5.0</v>
      </c>
    </row>
    <row r="92">
      <c r="A92" s="1" t="s">
        <v>38</v>
      </c>
      <c r="B92" s="3">
        <v>40391.0</v>
      </c>
      <c r="C92" s="3" t="s">
        <v>145</v>
      </c>
      <c r="D92" s="3" t="s">
        <v>146</v>
      </c>
      <c r="E92" s="1" t="s">
        <v>41</v>
      </c>
      <c r="F92" s="3">
        <v>74909.0</v>
      </c>
      <c r="G92" s="1" t="s">
        <v>420</v>
      </c>
      <c r="H92" s="4">
        <v>45495.876759259256</v>
      </c>
      <c r="I92" s="1" t="s">
        <v>421</v>
      </c>
      <c r="J92" s="1" t="s">
        <v>422</v>
      </c>
      <c r="K92" s="1" t="s">
        <v>148</v>
      </c>
      <c r="L92" s="1" t="s">
        <v>46</v>
      </c>
      <c r="M92" s="1" t="s">
        <v>47</v>
      </c>
      <c r="N92" s="1" t="s">
        <v>423</v>
      </c>
      <c r="O92" s="1" t="s">
        <v>424</v>
      </c>
      <c r="P92" s="3" t="s">
        <v>113</v>
      </c>
      <c r="Q92" s="3" t="s">
        <v>51</v>
      </c>
      <c r="R92" s="3">
        <v>83.0</v>
      </c>
      <c r="S92" s="1" t="s">
        <v>346</v>
      </c>
      <c r="T92" s="1" t="s">
        <v>148</v>
      </c>
      <c r="U92" s="1" t="s">
        <v>149</v>
      </c>
      <c r="V92" s="1" t="s">
        <v>55</v>
      </c>
      <c r="W92" s="1" t="s">
        <v>56</v>
      </c>
      <c r="X92" s="1" t="s">
        <v>57</v>
      </c>
      <c r="Y92" s="1" t="s">
        <v>58</v>
      </c>
      <c r="Z92" s="1" t="s">
        <v>59</v>
      </c>
      <c r="AA92" s="3">
        <v>8.0</v>
      </c>
      <c r="AB92" s="1" t="s">
        <v>60</v>
      </c>
      <c r="AC92" s="3">
        <v>28.0</v>
      </c>
      <c r="AD92" s="3">
        <v>28.0</v>
      </c>
      <c r="AE92" s="5">
        <v>0.7368</v>
      </c>
      <c r="AF92" s="3">
        <v>112.0</v>
      </c>
      <c r="AG92" s="3">
        <v>5.0</v>
      </c>
      <c r="AH92" s="3">
        <v>0.0</v>
      </c>
      <c r="AI92" s="3">
        <v>5.0</v>
      </c>
      <c r="AJ92" s="3">
        <v>0.0</v>
      </c>
      <c r="AK92" s="3">
        <v>0.0</v>
      </c>
      <c r="AL92" s="3">
        <v>5.0</v>
      </c>
    </row>
    <row r="93">
      <c r="A93" s="1" t="s">
        <v>38</v>
      </c>
      <c r="B93" s="3">
        <v>40227.0</v>
      </c>
      <c r="C93" s="6">
        <v>46026.0</v>
      </c>
      <c r="D93" s="3" t="s">
        <v>40</v>
      </c>
      <c r="E93" s="1" t="s">
        <v>41</v>
      </c>
      <c r="F93" s="3">
        <v>89772.0</v>
      </c>
      <c r="G93" s="1" t="s">
        <v>425</v>
      </c>
      <c r="H93" s="4">
        <v>46134.536516203705</v>
      </c>
      <c r="I93" s="1" t="s">
        <v>133</v>
      </c>
      <c r="J93" s="1" t="s">
        <v>422</v>
      </c>
      <c r="K93" s="1" t="s">
        <v>148</v>
      </c>
      <c r="L93" s="1" t="s">
        <v>46</v>
      </c>
      <c r="M93" s="1" t="s">
        <v>47</v>
      </c>
      <c r="N93" s="1" t="s">
        <v>426</v>
      </c>
      <c r="O93" s="1" t="s">
        <v>427</v>
      </c>
      <c r="P93" s="3" t="s">
        <v>128</v>
      </c>
      <c r="Q93" s="3" t="s">
        <v>51</v>
      </c>
      <c r="R93" s="3">
        <v>1775.0</v>
      </c>
      <c r="S93" s="1" t="s">
        <v>290</v>
      </c>
      <c r="T93" s="1" t="s">
        <v>53</v>
      </c>
      <c r="U93" s="1" t="s">
        <v>81</v>
      </c>
      <c r="V93" s="1" t="s">
        <v>71</v>
      </c>
      <c r="W93" s="1" t="s">
        <v>56</v>
      </c>
      <c r="X93" s="1" t="s">
        <v>72</v>
      </c>
      <c r="Y93" s="1" t="s">
        <v>58</v>
      </c>
      <c r="Z93" s="1" t="s">
        <v>59</v>
      </c>
      <c r="AA93" s="3">
        <v>6.0</v>
      </c>
      <c r="AB93" s="1" t="s">
        <v>60</v>
      </c>
      <c r="AC93" s="3">
        <v>22.0</v>
      </c>
      <c r="AD93" s="3">
        <v>22.0</v>
      </c>
      <c r="AE93" s="5">
        <v>0.9091</v>
      </c>
      <c r="AF93" s="3">
        <v>60.0</v>
      </c>
      <c r="AG93" s="3">
        <v>3.0</v>
      </c>
      <c r="AH93" s="3">
        <v>0.0</v>
      </c>
      <c r="AI93" s="3">
        <v>3.0</v>
      </c>
      <c r="AJ93" s="3">
        <v>0.0</v>
      </c>
      <c r="AK93" s="3">
        <v>0.0</v>
      </c>
      <c r="AL93" s="3">
        <v>3.0</v>
      </c>
    </row>
    <row r="94">
      <c r="A94" s="1" t="s">
        <v>38</v>
      </c>
      <c r="B94" s="3">
        <v>40246.0</v>
      </c>
      <c r="C94" s="6">
        <v>46026.0</v>
      </c>
      <c r="D94" s="3" t="s">
        <v>40</v>
      </c>
      <c r="E94" s="1" t="s">
        <v>41</v>
      </c>
      <c r="F94" s="3">
        <v>88561.0</v>
      </c>
      <c r="G94" s="1" t="s">
        <v>428</v>
      </c>
      <c r="H94" s="4">
        <v>46062.5859837963</v>
      </c>
      <c r="I94" s="1" t="s">
        <v>43</v>
      </c>
      <c r="J94" s="1" t="s">
        <v>429</v>
      </c>
      <c r="K94" s="1" t="s">
        <v>53</v>
      </c>
      <c r="L94" s="1" t="s">
        <v>46</v>
      </c>
      <c r="M94" s="1" t="s">
        <v>64</v>
      </c>
      <c r="N94" s="1" t="s">
        <v>430</v>
      </c>
      <c r="O94" s="1" t="s">
        <v>431</v>
      </c>
      <c r="P94" s="3" t="s">
        <v>178</v>
      </c>
      <c r="Q94" s="3" t="s">
        <v>51</v>
      </c>
      <c r="R94" s="3">
        <v>1785.0</v>
      </c>
      <c r="S94" s="1" t="s">
        <v>200</v>
      </c>
      <c r="T94" s="1" t="s">
        <v>53</v>
      </c>
      <c r="U94" s="1" t="s">
        <v>81</v>
      </c>
      <c r="V94" s="1" t="s">
        <v>71</v>
      </c>
      <c r="W94" s="1" t="s">
        <v>56</v>
      </c>
      <c r="X94" s="1" t="s">
        <v>72</v>
      </c>
      <c r="Y94" s="1" t="s">
        <v>58</v>
      </c>
      <c r="Z94" s="1" t="s">
        <v>59</v>
      </c>
      <c r="AA94" s="3">
        <v>6.0</v>
      </c>
      <c r="AB94" s="1" t="s">
        <v>82</v>
      </c>
      <c r="AC94" s="3">
        <v>17.0</v>
      </c>
      <c r="AD94" s="3">
        <v>17.0</v>
      </c>
      <c r="AE94" s="5">
        <v>0.8824</v>
      </c>
      <c r="AF94" s="3">
        <v>90.0</v>
      </c>
      <c r="AG94" s="3">
        <v>6.0</v>
      </c>
      <c r="AH94" s="3">
        <v>0.0</v>
      </c>
      <c r="AI94" s="3">
        <v>6.0</v>
      </c>
      <c r="AJ94" s="3">
        <v>0.0</v>
      </c>
      <c r="AK94" s="3">
        <v>0.0</v>
      </c>
      <c r="AL94" s="3">
        <v>6.0</v>
      </c>
    </row>
    <row r="95">
      <c r="A95" s="1" t="s">
        <v>38</v>
      </c>
      <c r="B95" s="3">
        <v>40247.0</v>
      </c>
      <c r="C95" s="6">
        <v>46026.0</v>
      </c>
      <c r="D95" s="3" t="s">
        <v>40</v>
      </c>
      <c r="E95" s="1" t="s">
        <v>41</v>
      </c>
      <c r="F95" s="3">
        <v>88642.0</v>
      </c>
      <c r="G95" s="1" t="s">
        <v>432</v>
      </c>
      <c r="H95" s="4">
        <v>46067.630949074075</v>
      </c>
      <c r="I95" s="1" t="s">
        <v>433</v>
      </c>
      <c r="J95" s="1" t="s">
        <v>151</v>
      </c>
      <c r="K95" s="1" t="s">
        <v>152</v>
      </c>
      <c r="L95" s="1" t="s">
        <v>46</v>
      </c>
      <c r="M95" s="1" t="s">
        <v>64</v>
      </c>
      <c r="N95" s="1" t="s">
        <v>125</v>
      </c>
      <c r="O95" s="1" t="s">
        <v>434</v>
      </c>
      <c r="P95" s="3" t="s">
        <v>39</v>
      </c>
      <c r="Q95" s="3" t="s">
        <v>88</v>
      </c>
      <c r="R95" s="3">
        <v>1785.0</v>
      </c>
      <c r="S95" s="1" t="s">
        <v>200</v>
      </c>
      <c r="T95" s="1" t="s">
        <v>53</v>
      </c>
      <c r="U95" s="1" t="s">
        <v>81</v>
      </c>
      <c r="V95" s="1" t="s">
        <v>71</v>
      </c>
      <c r="W95" s="1" t="s">
        <v>56</v>
      </c>
      <c r="X95" s="1" t="s">
        <v>72</v>
      </c>
      <c r="Y95" s="1" t="s">
        <v>58</v>
      </c>
      <c r="Z95" s="1" t="s">
        <v>59</v>
      </c>
      <c r="AA95" s="3">
        <v>7.0</v>
      </c>
      <c r="AB95" s="1" t="s">
        <v>257</v>
      </c>
      <c r="AC95" s="3">
        <v>24.0</v>
      </c>
      <c r="AD95" s="3">
        <v>24.0</v>
      </c>
      <c r="AE95" s="5">
        <v>0.5903</v>
      </c>
      <c r="AF95" s="3">
        <v>85.0</v>
      </c>
      <c r="AG95" s="3">
        <v>6.0</v>
      </c>
      <c r="AH95" s="3">
        <v>0.0</v>
      </c>
      <c r="AI95" s="3">
        <v>6.0</v>
      </c>
      <c r="AJ95" s="3">
        <v>0.0</v>
      </c>
      <c r="AK95" s="3">
        <v>0.0</v>
      </c>
      <c r="AL95" s="3">
        <v>6.0</v>
      </c>
    </row>
    <row r="96">
      <c r="A96" s="1" t="s">
        <v>38</v>
      </c>
      <c r="B96" s="3">
        <v>40258.0</v>
      </c>
      <c r="C96" s="3" t="s">
        <v>39</v>
      </c>
      <c r="D96" s="3" t="s">
        <v>83</v>
      </c>
      <c r="E96" s="1" t="s">
        <v>41</v>
      </c>
      <c r="F96" s="3">
        <v>89198.0</v>
      </c>
      <c r="G96" s="1" t="s">
        <v>435</v>
      </c>
      <c r="H96" s="4">
        <v>46104.5053125</v>
      </c>
      <c r="I96" s="1" t="s">
        <v>43</v>
      </c>
      <c r="J96" s="1" t="s">
        <v>436</v>
      </c>
      <c r="K96" s="1" t="s">
        <v>53</v>
      </c>
      <c r="L96" s="1" t="s">
        <v>46</v>
      </c>
      <c r="M96" s="1" t="s">
        <v>105</v>
      </c>
      <c r="N96" s="1" t="s">
        <v>437</v>
      </c>
      <c r="O96" s="1" t="s">
        <v>438</v>
      </c>
      <c r="P96" s="3" t="s">
        <v>68</v>
      </c>
      <c r="Q96" s="3" t="s">
        <v>100</v>
      </c>
      <c r="R96" s="3">
        <v>1984.0</v>
      </c>
      <c r="S96" s="1" t="s">
        <v>89</v>
      </c>
      <c r="T96" s="1" t="s">
        <v>90</v>
      </c>
      <c r="U96" s="1" t="s">
        <v>91</v>
      </c>
      <c r="V96" s="1" t="s">
        <v>92</v>
      </c>
      <c r="W96" s="1" t="s">
        <v>93</v>
      </c>
      <c r="X96" s="1" t="s">
        <v>57</v>
      </c>
      <c r="Y96" s="1" t="s">
        <v>58</v>
      </c>
      <c r="Z96" s="1" t="s">
        <v>59</v>
      </c>
      <c r="AA96" s="3">
        <v>5.0</v>
      </c>
      <c r="AB96" s="1" t="s">
        <v>188</v>
      </c>
      <c r="AC96" s="3">
        <v>6.0</v>
      </c>
      <c r="AD96" s="3">
        <v>6.0</v>
      </c>
      <c r="AE96" s="5">
        <v>0.9167</v>
      </c>
      <c r="AF96" s="3">
        <v>11.0</v>
      </c>
      <c r="AG96" s="3">
        <v>2.0</v>
      </c>
      <c r="AH96" s="3">
        <v>0.0</v>
      </c>
      <c r="AI96" s="3">
        <v>2.0</v>
      </c>
      <c r="AJ96" s="3">
        <v>0.0</v>
      </c>
      <c r="AK96" s="3">
        <v>0.0</v>
      </c>
      <c r="AL96" s="3">
        <v>2.0</v>
      </c>
    </row>
    <row r="97">
      <c r="A97" s="1" t="s">
        <v>38</v>
      </c>
      <c r="B97" s="3">
        <v>40305.0</v>
      </c>
      <c r="C97" s="6">
        <v>46299.0</v>
      </c>
      <c r="D97" s="3" t="s">
        <v>95</v>
      </c>
      <c r="E97" s="1" t="s">
        <v>41</v>
      </c>
      <c r="F97" s="3">
        <v>76215.0</v>
      </c>
      <c r="G97" s="1" t="s">
        <v>439</v>
      </c>
      <c r="H97" s="4">
        <v>45532.984131944446</v>
      </c>
      <c r="I97" s="1" t="s">
        <v>440</v>
      </c>
      <c r="J97" s="1" t="s">
        <v>151</v>
      </c>
      <c r="K97" s="1" t="s">
        <v>152</v>
      </c>
      <c r="L97" s="1" t="s">
        <v>46</v>
      </c>
      <c r="M97" s="1" t="s">
        <v>105</v>
      </c>
      <c r="N97" s="1" t="s">
        <v>441</v>
      </c>
      <c r="O97" s="1" t="s">
        <v>442</v>
      </c>
      <c r="P97" s="3" t="s">
        <v>145</v>
      </c>
      <c r="Q97" s="3" t="s">
        <v>88</v>
      </c>
      <c r="R97" s="3">
        <v>1720.0</v>
      </c>
      <c r="S97" s="1" t="s">
        <v>172</v>
      </c>
      <c r="T97" s="1" t="s">
        <v>53</v>
      </c>
      <c r="U97" s="1" t="s">
        <v>81</v>
      </c>
      <c r="V97" s="1" t="s">
        <v>130</v>
      </c>
      <c r="W97" s="1" t="s">
        <v>56</v>
      </c>
      <c r="X97" s="1" t="s">
        <v>57</v>
      </c>
      <c r="Y97" s="1" t="s">
        <v>58</v>
      </c>
      <c r="Z97" s="1" t="s">
        <v>59</v>
      </c>
      <c r="AA97" s="3">
        <v>8.0</v>
      </c>
      <c r="AB97" s="1" t="s">
        <v>144</v>
      </c>
      <c r="AC97" s="3">
        <v>28.0</v>
      </c>
      <c r="AD97" s="3">
        <v>28.0</v>
      </c>
      <c r="AE97" s="5">
        <v>0.6216</v>
      </c>
      <c r="AF97" s="3">
        <v>92.0</v>
      </c>
      <c r="AG97" s="3">
        <v>5.0</v>
      </c>
      <c r="AH97" s="3">
        <v>0.0</v>
      </c>
      <c r="AI97" s="3">
        <v>4.0</v>
      </c>
      <c r="AJ97" s="3">
        <v>1.0</v>
      </c>
      <c r="AK97" s="3">
        <v>0.0</v>
      </c>
      <c r="AL97" s="3">
        <v>5.0</v>
      </c>
    </row>
    <row r="98">
      <c r="A98" s="1" t="s">
        <v>38</v>
      </c>
      <c r="B98" s="3">
        <v>40263.0</v>
      </c>
      <c r="C98" s="6">
        <v>46026.0</v>
      </c>
      <c r="D98" s="3" t="s">
        <v>40</v>
      </c>
      <c r="E98" s="1" t="s">
        <v>41</v>
      </c>
      <c r="F98" s="3">
        <v>77174.0</v>
      </c>
      <c r="G98" s="1" t="s">
        <v>443</v>
      </c>
      <c r="H98" s="4">
        <v>45569.53712962963</v>
      </c>
      <c r="I98" s="1" t="s">
        <v>43</v>
      </c>
      <c r="J98" s="1" t="s">
        <v>268</v>
      </c>
      <c r="K98" s="1" t="s">
        <v>118</v>
      </c>
      <c r="L98" s="1" t="s">
        <v>46</v>
      </c>
      <c r="M98" s="1" t="s">
        <v>236</v>
      </c>
      <c r="N98" s="1" t="s">
        <v>444</v>
      </c>
      <c r="O98" s="1" t="s">
        <v>445</v>
      </c>
      <c r="P98" s="3" t="s">
        <v>39</v>
      </c>
      <c r="Q98" s="3" t="s">
        <v>100</v>
      </c>
      <c r="R98" s="3">
        <v>1790.0</v>
      </c>
      <c r="S98" s="1" t="s">
        <v>206</v>
      </c>
      <c r="T98" s="1" t="s">
        <v>53</v>
      </c>
      <c r="U98" s="1" t="s">
        <v>70</v>
      </c>
      <c r="V98" s="1" t="s">
        <v>71</v>
      </c>
      <c r="W98" s="1" t="s">
        <v>56</v>
      </c>
      <c r="X98" s="1" t="s">
        <v>72</v>
      </c>
      <c r="Y98" s="1" t="s">
        <v>58</v>
      </c>
      <c r="Z98" s="1" t="s">
        <v>59</v>
      </c>
      <c r="AA98" s="3">
        <v>7.0</v>
      </c>
      <c r="AB98" s="1" t="s">
        <v>257</v>
      </c>
      <c r="AC98" s="3">
        <v>19.0</v>
      </c>
      <c r="AD98" s="3">
        <v>19.0</v>
      </c>
      <c r="AE98" s="5">
        <v>0.6737</v>
      </c>
      <c r="AF98" s="3">
        <v>64.0</v>
      </c>
      <c r="AG98" s="3">
        <v>5.0</v>
      </c>
      <c r="AH98" s="3">
        <v>0.0</v>
      </c>
      <c r="AI98" s="3">
        <v>5.0</v>
      </c>
      <c r="AJ98" s="3">
        <v>0.0</v>
      </c>
      <c r="AK98" s="3">
        <v>0.0</v>
      </c>
      <c r="AL98" s="3">
        <v>5.0</v>
      </c>
    </row>
    <row r="99">
      <c r="A99" s="1" t="s">
        <v>38</v>
      </c>
      <c r="B99" s="3">
        <v>40384.0</v>
      </c>
      <c r="C99" s="3" t="s">
        <v>145</v>
      </c>
      <c r="D99" s="3" t="s">
        <v>146</v>
      </c>
      <c r="E99" s="1" t="s">
        <v>41</v>
      </c>
      <c r="F99" s="3">
        <v>21221.0</v>
      </c>
      <c r="G99" s="1" t="s">
        <v>446</v>
      </c>
      <c r="H99" s="4">
        <v>43108.343090277776</v>
      </c>
      <c r="I99" s="1" t="s">
        <v>447</v>
      </c>
      <c r="J99" s="1" t="s">
        <v>448</v>
      </c>
      <c r="K99" s="1" t="s">
        <v>449</v>
      </c>
      <c r="L99" s="1" t="s">
        <v>450</v>
      </c>
      <c r="N99" s="7"/>
      <c r="O99" s="1" t="s">
        <v>451</v>
      </c>
      <c r="P99" s="3" t="s">
        <v>127</v>
      </c>
      <c r="Q99" s="3" t="s">
        <v>128</v>
      </c>
      <c r="R99" s="3">
        <v>22.0</v>
      </c>
      <c r="S99" s="1" t="s">
        <v>194</v>
      </c>
      <c r="T99" s="1" t="s">
        <v>148</v>
      </c>
      <c r="U99" s="1" t="s">
        <v>149</v>
      </c>
      <c r="V99" s="1" t="s">
        <v>55</v>
      </c>
      <c r="W99" s="1" t="s">
        <v>56</v>
      </c>
      <c r="X99" s="1" t="s">
        <v>57</v>
      </c>
      <c r="Y99" s="1" t="s">
        <v>58</v>
      </c>
      <c r="Z99" s="1" t="s">
        <v>59</v>
      </c>
      <c r="AA99" s="3">
        <v>7.0</v>
      </c>
      <c r="AB99" s="1" t="s">
        <v>60</v>
      </c>
      <c r="AC99" s="3">
        <v>29.0</v>
      </c>
      <c r="AD99" s="3">
        <v>29.0</v>
      </c>
      <c r="AE99" s="5">
        <v>0.7011</v>
      </c>
      <c r="AF99" s="3">
        <v>61.0</v>
      </c>
      <c r="AG99" s="3">
        <v>3.0</v>
      </c>
      <c r="AH99" s="3">
        <v>0.0</v>
      </c>
      <c r="AI99" s="3">
        <v>3.0</v>
      </c>
      <c r="AJ99" s="3">
        <v>0.0</v>
      </c>
      <c r="AK99" s="3">
        <v>0.0</v>
      </c>
      <c r="AL99" s="3">
        <v>3.0</v>
      </c>
    </row>
    <row r="100">
      <c r="A100" s="1" t="s">
        <v>38</v>
      </c>
      <c r="B100" s="3">
        <v>40418.0</v>
      </c>
      <c r="C100" s="3" t="s">
        <v>145</v>
      </c>
      <c r="D100" s="3" t="s">
        <v>452</v>
      </c>
      <c r="E100" s="1" t="s">
        <v>41</v>
      </c>
      <c r="F100" s="3">
        <v>21221.0</v>
      </c>
      <c r="G100" s="1" t="s">
        <v>446</v>
      </c>
      <c r="H100" s="4">
        <v>43108.343090277776</v>
      </c>
      <c r="I100" s="1" t="s">
        <v>447</v>
      </c>
      <c r="J100" s="1" t="s">
        <v>448</v>
      </c>
      <c r="K100" s="1" t="s">
        <v>449</v>
      </c>
      <c r="L100" s="1" t="s">
        <v>450</v>
      </c>
      <c r="N100" s="7"/>
      <c r="O100" s="1" t="s">
        <v>451</v>
      </c>
      <c r="P100" s="3" t="s">
        <v>50</v>
      </c>
      <c r="Q100" s="3" t="s">
        <v>51</v>
      </c>
      <c r="R100" s="3">
        <v>114.0</v>
      </c>
      <c r="S100" s="1" t="s">
        <v>453</v>
      </c>
      <c r="T100" s="1" t="s">
        <v>148</v>
      </c>
      <c r="U100" s="1" t="s">
        <v>157</v>
      </c>
      <c r="V100" s="1" t="s">
        <v>55</v>
      </c>
      <c r="W100" s="1" t="s">
        <v>56</v>
      </c>
      <c r="X100" s="1" t="s">
        <v>57</v>
      </c>
      <c r="Y100" s="1" t="s">
        <v>58</v>
      </c>
      <c r="Z100" s="1" t="s">
        <v>59</v>
      </c>
      <c r="AA100" s="3">
        <v>8.0</v>
      </c>
      <c r="AB100" s="1" t="s">
        <v>60</v>
      </c>
      <c r="AC100" s="3">
        <v>27.0</v>
      </c>
      <c r="AD100" s="3">
        <v>27.0</v>
      </c>
      <c r="AE100" s="5">
        <v>0.8519</v>
      </c>
      <c r="AF100" s="3">
        <v>69.0</v>
      </c>
      <c r="AG100" s="3">
        <v>3.0</v>
      </c>
      <c r="AH100" s="3">
        <v>0.0</v>
      </c>
      <c r="AI100" s="3">
        <v>2.0</v>
      </c>
      <c r="AJ100" s="3">
        <v>1.0</v>
      </c>
      <c r="AK100" s="3">
        <v>0.0</v>
      </c>
      <c r="AL100" s="3">
        <v>3.0</v>
      </c>
    </row>
    <row r="101">
      <c r="A101" s="1" t="s">
        <v>38</v>
      </c>
      <c r="B101" s="3">
        <v>40420.0</v>
      </c>
      <c r="C101" s="3" t="s">
        <v>145</v>
      </c>
      <c r="D101" s="3" t="s">
        <v>146</v>
      </c>
      <c r="E101" s="1" t="s">
        <v>41</v>
      </c>
      <c r="F101" s="3">
        <v>21221.0</v>
      </c>
      <c r="G101" s="1" t="s">
        <v>446</v>
      </c>
      <c r="H101" s="4">
        <v>43108.343090277776</v>
      </c>
      <c r="I101" s="1" t="s">
        <v>447</v>
      </c>
      <c r="J101" s="1" t="s">
        <v>448</v>
      </c>
      <c r="K101" s="1" t="s">
        <v>449</v>
      </c>
      <c r="L101" s="1" t="s">
        <v>450</v>
      </c>
      <c r="N101" s="7"/>
      <c r="O101" s="1" t="s">
        <v>451</v>
      </c>
      <c r="P101" s="3" t="s">
        <v>50</v>
      </c>
      <c r="Q101" s="3" t="s">
        <v>51</v>
      </c>
      <c r="R101" s="3">
        <v>115.0</v>
      </c>
      <c r="S101" s="1" t="s">
        <v>454</v>
      </c>
      <c r="T101" s="1" t="s">
        <v>148</v>
      </c>
      <c r="U101" s="1" t="s">
        <v>157</v>
      </c>
      <c r="V101" s="1" t="s">
        <v>55</v>
      </c>
      <c r="W101" s="1" t="s">
        <v>56</v>
      </c>
      <c r="X101" s="1" t="s">
        <v>57</v>
      </c>
      <c r="Y101" s="1" t="s">
        <v>58</v>
      </c>
      <c r="Z101" s="1" t="s">
        <v>59</v>
      </c>
      <c r="AA101" s="3">
        <v>8.0</v>
      </c>
      <c r="AB101" s="1" t="s">
        <v>60</v>
      </c>
      <c r="AC101" s="3">
        <v>31.0</v>
      </c>
      <c r="AD101" s="3">
        <v>31.0</v>
      </c>
      <c r="AE101" s="5">
        <v>0.6667</v>
      </c>
      <c r="AF101" s="3">
        <v>62.0</v>
      </c>
      <c r="AG101" s="3">
        <v>3.0</v>
      </c>
      <c r="AH101" s="3">
        <v>0.0</v>
      </c>
      <c r="AI101" s="3">
        <v>2.0</v>
      </c>
      <c r="AJ101" s="3">
        <v>1.0</v>
      </c>
      <c r="AK101" s="3">
        <v>0.0</v>
      </c>
      <c r="AL101" s="3">
        <v>3.0</v>
      </c>
    </row>
    <row r="102">
      <c r="A102" s="1" t="s">
        <v>38</v>
      </c>
      <c r="B102" s="3">
        <v>40386.0</v>
      </c>
      <c r="C102" s="3" t="s">
        <v>145</v>
      </c>
      <c r="D102" s="3" t="s">
        <v>146</v>
      </c>
      <c r="E102" s="1" t="s">
        <v>41</v>
      </c>
      <c r="F102" s="3">
        <v>78237.0</v>
      </c>
      <c r="G102" s="1" t="s">
        <v>455</v>
      </c>
      <c r="H102" s="4">
        <v>45618.584641203706</v>
      </c>
      <c r="J102" s="1" t="s">
        <v>456</v>
      </c>
      <c r="K102" s="1" t="s">
        <v>45</v>
      </c>
      <c r="L102" s="1" t="s">
        <v>46</v>
      </c>
      <c r="M102" s="1" t="s">
        <v>105</v>
      </c>
      <c r="N102" s="1" t="s">
        <v>457</v>
      </c>
      <c r="O102" s="1" t="s">
        <v>458</v>
      </c>
      <c r="P102" s="3" t="s">
        <v>145</v>
      </c>
      <c r="Q102" s="3" t="s">
        <v>88</v>
      </c>
      <c r="R102" s="3">
        <v>1689.0</v>
      </c>
      <c r="S102" s="1" t="s">
        <v>459</v>
      </c>
      <c r="T102" s="1" t="s">
        <v>148</v>
      </c>
      <c r="U102" s="1" t="s">
        <v>149</v>
      </c>
      <c r="V102" s="1" t="s">
        <v>55</v>
      </c>
      <c r="W102" s="1" t="s">
        <v>56</v>
      </c>
      <c r="X102" s="1" t="s">
        <v>57</v>
      </c>
      <c r="Y102" s="1" t="s">
        <v>58</v>
      </c>
      <c r="Z102" s="1" t="s">
        <v>59</v>
      </c>
      <c r="AA102" s="3">
        <v>7.0</v>
      </c>
      <c r="AB102" s="1" t="s">
        <v>60</v>
      </c>
      <c r="AC102" s="3">
        <v>31.0</v>
      </c>
      <c r="AD102" s="3">
        <v>31.0</v>
      </c>
      <c r="AE102" s="5">
        <v>0.8548</v>
      </c>
      <c r="AF102" s="3">
        <v>106.0</v>
      </c>
      <c r="AG102" s="3">
        <v>4.0</v>
      </c>
      <c r="AH102" s="3">
        <v>0.0</v>
      </c>
      <c r="AI102" s="3">
        <v>4.0</v>
      </c>
      <c r="AJ102" s="3">
        <v>0.0</v>
      </c>
      <c r="AK102" s="3">
        <v>0.0</v>
      </c>
      <c r="AL102" s="3">
        <v>4.0</v>
      </c>
    </row>
    <row r="103">
      <c r="A103" s="1" t="s">
        <v>38</v>
      </c>
      <c r="B103" s="3">
        <v>40387.0</v>
      </c>
      <c r="C103" s="3" t="s">
        <v>145</v>
      </c>
      <c r="D103" s="3" t="s">
        <v>146</v>
      </c>
      <c r="E103" s="1" t="s">
        <v>41</v>
      </c>
      <c r="F103" s="3">
        <v>78237.0</v>
      </c>
      <c r="G103" s="1" t="s">
        <v>455</v>
      </c>
      <c r="H103" s="4">
        <v>45618.584641203706</v>
      </c>
      <c r="J103" s="1" t="s">
        <v>456</v>
      </c>
      <c r="K103" s="1" t="s">
        <v>45</v>
      </c>
      <c r="L103" s="1" t="s">
        <v>46</v>
      </c>
      <c r="M103" s="1" t="s">
        <v>105</v>
      </c>
      <c r="N103" s="1" t="s">
        <v>457</v>
      </c>
      <c r="O103" s="1" t="s">
        <v>458</v>
      </c>
      <c r="P103" s="3" t="s">
        <v>145</v>
      </c>
      <c r="Q103" s="3" t="s">
        <v>88</v>
      </c>
      <c r="R103" s="3">
        <v>1690.0</v>
      </c>
      <c r="S103" s="1" t="s">
        <v>460</v>
      </c>
      <c r="T103" s="1" t="s">
        <v>148</v>
      </c>
      <c r="U103" s="1" t="s">
        <v>149</v>
      </c>
      <c r="V103" s="1" t="s">
        <v>55</v>
      </c>
      <c r="W103" s="1" t="s">
        <v>56</v>
      </c>
      <c r="X103" s="1" t="s">
        <v>57</v>
      </c>
      <c r="Y103" s="1" t="s">
        <v>58</v>
      </c>
      <c r="Z103" s="1" t="s">
        <v>59</v>
      </c>
      <c r="AA103" s="3">
        <v>7.0</v>
      </c>
      <c r="AB103" s="1" t="s">
        <v>60</v>
      </c>
      <c r="AC103" s="3">
        <v>39.0</v>
      </c>
      <c r="AD103" s="3">
        <v>39.0</v>
      </c>
      <c r="AE103" s="5">
        <v>0.8782</v>
      </c>
      <c r="AF103" s="3">
        <v>137.0</v>
      </c>
      <c r="AG103" s="3">
        <v>4.0</v>
      </c>
      <c r="AH103" s="3">
        <v>0.0</v>
      </c>
      <c r="AI103" s="3">
        <v>4.0</v>
      </c>
      <c r="AJ103" s="3">
        <v>0.0</v>
      </c>
      <c r="AK103" s="3">
        <v>0.0</v>
      </c>
      <c r="AL103" s="3">
        <v>4.0</v>
      </c>
    </row>
    <row r="104">
      <c r="A104" s="1" t="s">
        <v>38</v>
      </c>
      <c r="B104" s="3">
        <v>40404.0</v>
      </c>
      <c r="C104" s="3" t="s">
        <v>145</v>
      </c>
      <c r="D104" s="3" t="s">
        <v>146</v>
      </c>
      <c r="E104" s="1" t="s">
        <v>41</v>
      </c>
      <c r="F104" s="3">
        <v>86865.0</v>
      </c>
      <c r="G104" s="1" t="s">
        <v>461</v>
      </c>
      <c r="H104" s="4">
        <v>45975.707662037035</v>
      </c>
      <c r="I104" s="1" t="s">
        <v>43</v>
      </c>
      <c r="J104" s="1" t="s">
        <v>97</v>
      </c>
      <c r="K104" s="1" t="s">
        <v>63</v>
      </c>
      <c r="L104" s="1" t="s">
        <v>46</v>
      </c>
      <c r="M104" s="1" t="s">
        <v>64</v>
      </c>
      <c r="N104" s="1" t="s">
        <v>125</v>
      </c>
      <c r="O104" s="1" t="s">
        <v>462</v>
      </c>
      <c r="P104" s="3" t="s">
        <v>145</v>
      </c>
      <c r="Q104" s="3" t="s">
        <v>51</v>
      </c>
      <c r="R104" s="3">
        <v>116.0</v>
      </c>
      <c r="S104" s="1" t="s">
        <v>463</v>
      </c>
      <c r="T104" s="1" t="s">
        <v>148</v>
      </c>
      <c r="U104" s="1" t="s">
        <v>157</v>
      </c>
      <c r="V104" s="1" t="s">
        <v>55</v>
      </c>
      <c r="W104" s="1" t="s">
        <v>56</v>
      </c>
      <c r="X104" s="1" t="s">
        <v>57</v>
      </c>
      <c r="Y104" s="1" t="s">
        <v>58</v>
      </c>
      <c r="Z104" s="1" t="s">
        <v>59</v>
      </c>
      <c r="AA104" s="3">
        <v>7.0</v>
      </c>
      <c r="AB104" s="1" t="s">
        <v>60</v>
      </c>
      <c r="AC104" s="3">
        <v>36.0</v>
      </c>
      <c r="AD104" s="3">
        <v>36.0</v>
      </c>
      <c r="AE104" s="5">
        <v>1.0</v>
      </c>
      <c r="AF104" s="3">
        <v>144.0</v>
      </c>
      <c r="AG104" s="3">
        <v>6.0</v>
      </c>
      <c r="AH104" s="3">
        <v>0.0</v>
      </c>
      <c r="AI104" s="3">
        <v>4.0</v>
      </c>
      <c r="AJ104" s="3">
        <v>0.0</v>
      </c>
      <c r="AK104" s="3">
        <v>2.0</v>
      </c>
      <c r="AL104" s="3">
        <v>4.0</v>
      </c>
    </row>
    <row r="105">
      <c r="A105" s="1" t="s">
        <v>38</v>
      </c>
      <c r="B105" s="3">
        <v>40242.0</v>
      </c>
      <c r="C105" s="6">
        <v>46026.0</v>
      </c>
      <c r="D105" s="3" t="s">
        <v>40</v>
      </c>
      <c r="E105" s="1" t="s">
        <v>41</v>
      </c>
      <c r="F105" s="3">
        <v>25910.0</v>
      </c>
      <c r="G105" s="1" t="s">
        <v>464</v>
      </c>
      <c r="H105" s="4">
        <v>43424.17145833333</v>
      </c>
      <c r="I105" s="1" t="s">
        <v>447</v>
      </c>
      <c r="J105" s="1" t="s">
        <v>151</v>
      </c>
      <c r="K105" s="1" t="s">
        <v>152</v>
      </c>
      <c r="L105" s="1" t="s">
        <v>46</v>
      </c>
      <c r="M105" s="1" t="s">
        <v>465</v>
      </c>
      <c r="O105" s="1" t="s">
        <v>466</v>
      </c>
      <c r="P105" s="3" t="s">
        <v>100</v>
      </c>
      <c r="Q105" s="3" t="s">
        <v>88</v>
      </c>
      <c r="R105" s="3">
        <v>1791.0</v>
      </c>
      <c r="S105" s="1" t="s">
        <v>69</v>
      </c>
      <c r="T105" s="1" t="s">
        <v>53</v>
      </c>
      <c r="U105" s="1" t="s">
        <v>70</v>
      </c>
      <c r="V105" s="1" t="s">
        <v>71</v>
      </c>
      <c r="W105" s="1" t="s">
        <v>56</v>
      </c>
      <c r="X105" s="1" t="s">
        <v>72</v>
      </c>
      <c r="Y105" s="1" t="s">
        <v>58</v>
      </c>
      <c r="Z105" s="1" t="s">
        <v>59</v>
      </c>
      <c r="AA105" s="3">
        <v>8.0</v>
      </c>
      <c r="AB105" s="1" t="s">
        <v>82</v>
      </c>
      <c r="AC105" s="3">
        <v>42.0</v>
      </c>
      <c r="AD105" s="3">
        <v>42.0</v>
      </c>
      <c r="AE105" s="5">
        <v>1.0</v>
      </c>
      <c r="AF105" s="3">
        <v>84.0</v>
      </c>
      <c r="AG105" s="3">
        <v>2.0</v>
      </c>
      <c r="AH105" s="3">
        <v>0.0</v>
      </c>
      <c r="AI105" s="3">
        <v>2.0</v>
      </c>
      <c r="AJ105" s="3">
        <v>0.0</v>
      </c>
      <c r="AK105" s="3">
        <v>0.0</v>
      </c>
      <c r="AL105" s="3">
        <v>2.0</v>
      </c>
    </row>
    <row r="106">
      <c r="A106" s="1" t="s">
        <v>38</v>
      </c>
      <c r="B106" s="3">
        <v>40235.0</v>
      </c>
      <c r="C106" s="6">
        <v>46026.0</v>
      </c>
      <c r="D106" s="3" t="s">
        <v>40</v>
      </c>
      <c r="E106" s="1" t="s">
        <v>41</v>
      </c>
      <c r="F106" s="3">
        <v>88680.0</v>
      </c>
      <c r="G106" s="1" t="s">
        <v>467</v>
      </c>
      <c r="H106" s="4">
        <v>46069.81927083333</v>
      </c>
      <c r="I106" s="1" t="s">
        <v>468</v>
      </c>
      <c r="J106" s="1" t="s">
        <v>469</v>
      </c>
      <c r="K106" s="1" t="s">
        <v>124</v>
      </c>
      <c r="L106" s="1" t="s">
        <v>46</v>
      </c>
      <c r="M106" s="1" t="s">
        <v>47</v>
      </c>
      <c r="N106" s="1" t="s">
        <v>470</v>
      </c>
      <c r="O106" s="1" t="s">
        <v>471</v>
      </c>
      <c r="P106" s="3" t="s">
        <v>39</v>
      </c>
      <c r="Q106" s="3" t="s">
        <v>88</v>
      </c>
      <c r="R106" s="3">
        <v>1774.0</v>
      </c>
      <c r="S106" s="1" t="s">
        <v>108</v>
      </c>
      <c r="T106" s="1" t="s">
        <v>53</v>
      </c>
      <c r="U106" s="1" t="s">
        <v>81</v>
      </c>
      <c r="V106" s="1" t="s">
        <v>71</v>
      </c>
      <c r="W106" s="1" t="s">
        <v>56</v>
      </c>
      <c r="X106" s="1" t="s">
        <v>72</v>
      </c>
      <c r="Y106" s="1" t="s">
        <v>58</v>
      </c>
      <c r="Z106" s="1" t="s">
        <v>59</v>
      </c>
      <c r="AA106" s="3">
        <v>7.0</v>
      </c>
      <c r="AB106" s="1" t="s">
        <v>257</v>
      </c>
      <c r="AC106" s="3">
        <v>22.0</v>
      </c>
      <c r="AD106" s="3">
        <v>22.0</v>
      </c>
      <c r="AE106" s="5">
        <v>0.9545</v>
      </c>
      <c r="AF106" s="3">
        <v>126.0</v>
      </c>
      <c r="AG106" s="3">
        <v>6.0</v>
      </c>
      <c r="AH106" s="3">
        <v>0.0</v>
      </c>
      <c r="AI106" s="3">
        <v>6.0</v>
      </c>
      <c r="AJ106" s="3">
        <v>0.0</v>
      </c>
      <c r="AK106" s="3">
        <v>0.0</v>
      </c>
      <c r="AL106" s="3">
        <v>6.0</v>
      </c>
    </row>
    <row r="107">
      <c r="A107" s="1" t="s">
        <v>38</v>
      </c>
      <c r="B107" s="3">
        <v>40401.0</v>
      </c>
      <c r="C107" s="6">
        <v>46026.0</v>
      </c>
      <c r="D107" s="3" t="s">
        <v>95</v>
      </c>
      <c r="E107" s="1" t="s">
        <v>41</v>
      </c>
      <c r="F107" s="3">
        <v>54665.0</v>
      </c>
      <c r="G107" s="1" t="s">
        <v>472</v>
      </c>
      <c r="H107" s="4">
        <v>44534.481087962966</v>
      </c>
      <c r="I107" s="1" t="s">
        <v>43</v>
      </c>
      <c r="J107" s="1" t="s">
        <v>473</v>
      </c>
      <c r="K107" s="1" t="s">
        <v>118</v>
      </c>
      <c r="L107" s="1" t="s">
        <v>46</v>
      </c>
      <c r="M107" s="1" t="s">
        <v>236</v>
      </c>
      <c r="N107" s="1" t="s">
        <v>474</v>
      </c>
      <c r="O107" s="1" t="s">
        <v>475</v>
      </c>
      <c r="P107" s="3" t="s">
        <v>127</v>
      </c>
      <c r="Q107" s="3" t="s">
        <v>51</v>
      </c>
      <c r="R107" s="3">
        <v>1274.0</v>
      </c>
      <c r="S107" s="1" t="s">
        <v>147</v>
      </c>
      <c r="T107" s="1" t="s">
        <v>148</v>
      </c>
      <c r="U107" s="1" t="s">
        <v>149</v>
      </c>
      <c r="V107" s="1" t="s">
        <v>55</v>
      </c>
      <c r="W107" s="1" t="s">
        <v>56</v>
      </c>
      <c r="X107" s="1" t="s">
        <v>57</v>
      </c>
      <c r="Y107" s="1" t="s">
        <v>58</v>
      </c>
      <c r="Z107" s="1" t="s">
        <v>59</v>
      </c>
      <c r="AA107" s="3">
        <v>9.0</v>
      </c>
      <c r="AB107" s="1" t="s">
        <v>60</v>
      </c>
      <c r="AC107" s="3">
        <v>48.0</v>
      </c>
      <c r="AD107" s="3">
        <v>48.0</v>
      </c>
      <c r="AE107" s="5">
        <v>0.0625</v>
      </c>
      <c r="AF107" s="3">
        <v>12.0</v>
      </c>
      <c r="AG107" s="3">
        <v>4.0</v>
      </c>
      <c r="AH107" s="3">
        <v>0.0</v>
      </c>
      <c r="AI107" s="3">
        <v>3.0</v>
      </c>
      <c r="AJ107" s="3">
        <v>1.0</v>
      </c>
      <c r="AK107" s="3">
        <v>0.0</v>
      </c>
      <c r="AL107" s="3">
        <v>4.0</v>
      </c>
    </row>
    <row r="108">
      <c r="A108" s="1" t="s">
        <v>38</v>
      </c>
      <c r="B108" s="3">
        <v>40402.0</v>
      </c>
      <c r="C108" s="3" t="s">
        <v>145</v>
      </c>
      <c r="D108" s="3" t="s">
        <v>146</v>
      </c>
      <c r="E108" s="1" t="s">
        <v>41</v>
      </c>
      <c r="F108" s="3">
        <v>79138.0</v>
      </c>
      <c r="G108" s="1" t="s">
        <v>476</v>
      </c>
      <c r="H108" s="4">
        <v>45643.528715277775</v>
      </c>
      <c r="I108" s="1" t="s">
        <v>477</v>
      </c>
      <c r="J108" s="1" t="s">
        <v>478</v>
      </c>
      <c r="K108" s="1" t="s">
        <v>203</v>
      </c>
      <c r="L108" s="1" t="s">
        <v>46</v>
      </c>
      <c r="M108" s="1" t="s">
        <v>105</v>
      </c>
      <c r="N108" s="1" t="s">
        <v>479</v>
      </c>
      <c r="O108" s="1" t="s">
        <v>480</v>
      </c>
      <c r="P108" s="3" t="s">
        <v>155</v>
      </c>
      <c r="Q108" s="3" t="s">
        <v>88</v>
      </c>
      <c r="R108" s="3">
        <v>113.0</v>
      </c>
      <c r="S108" s="1" t="s">
        <v>163</v>
      </c>
      <c r="T108" s="1" t="s">
        <v>148</v>
      </c>
      <c r="U108" s="1" t="s">
        <v>157</v>
      </c>
      <c r="V108" s="1" t="s">
        <v>55</v>
      </c>
      <c r="W108" s="1" t="s">
        <v>56</v>
      </c>
      <c r="X108" s="1" t="s">
        <v>57</v>
      </c>
      <c r="Y108" s="1" t="s">
        <v>58</v>
      </c>
      <c r="Z108" s="1" t="s">
        <v>59</v>
      </c>
      <c r="AA108" s="3">
        <v>7.0</v>
      </c>
      <c r="AB108" s="1" t="s">
        <v>60</v>
      </c>
      <c r="AC108" s="3">
        <v>11.0</v>
      </c>
      <c r="AD108" s="3">
        <v>11.0</v>
      </c>
      <c r="AE108" s="5">
        <v>1.0</v>
      </c>
      <c r="AF108" s="3">
        <v>11.0</v>
      </c>
      <c r="AG108" s="3">
        <v>3.0</v>
      </c>
      <c r="AH108" s="3">
        <v>0.0</v>
      </c>
      <c r="AI108" s="3">
        <v>1.0</v>
      </c>
      <c r="AJ108" s="3">
        <v>0.0</v>
      </c>
      <c r="AK108" s="3">
        <v>2.0</v>
      </c>
      <c r="AL108" s="3">
        <v>1.0</v>
      </c>
    </row>
    <row r="109">
      <c r="A109" s="1" t="s">
        <v>38</v>
      </c>
      <c r="B109" s="3">
        <v>40406.0</v>
      </c>
      <c r="C109" s="3" t="s">
        <v>145</v>
      </c>
      <c r="D109" s="3" t="s">
        <v>146</v>
      </c>
      <c r="E109" s="1" t="s">
        <v>41</v>
      </c>
      <c r="F109" s="3">
        <v>76999.0</v>
      </c>
      <c r="G109" s="1" t="s">
        <v>481</v>
      </c>
      <c r="H109" s="4">
        <v>45562.46952546296</v>
      </c>
      <c r="I109" s="1" t="s">
        <v>43</v>
      </c>
      <c r="J109" s="1" t="s">
        <v>85</v>
      </c>
      <c r="K109" s="1" t="s">
        <v>63</v>
      </c>
      <c r="L109" s="1" t="s">
        <v>46</v>
      </c>
      <c r="M109" s="1" t="s">
        <v>236</v>
      </c>
      <c r="N109" s="1" t="s">
        <v>482</v>
      </c>
      <c r="O109" s="1" t="s">
        <v>483</v>
      </c>
      <c r="P109" s="3" t="s">
        <v>113</v>
      </c>
      <c r="Q109" s="3" t="s">
        <v>51</v>
      </c>
      <c r="R109" s="3">
        <v>91.0</v>
      </c>
      <c r="S109" s="1" t="s">
        <v>484</v>
      </c>
      <c r="T109" s="1" t="s">
        <v>148</v>
      </c>
      <c r="U109" s="1" t="s">
        <v>157</v>
      </c>
      <c r="V109" s="1" t="s">
        <v>55</v>
      </c>
      <c r="W109" s="1" t="s">
        <v>56</v>
      </c>
      <c r="X109" s="1" t="s">
        <v>57</v>
      </c>
      <c r="Y109" s="1" t="s">
        <v>58</v>
      </c>
      <c r="Z109" s="1" t="s">
        <v>59</v>
      </c>
      <c r="AA109" s="3">
        <v>7.0</v>
      </c>
      <c r="AB109" s="1" t="s">
        <v>60</v>
      </c>
      <c r="AC109" s="3">
        <v>58.0</v>
      </c>
      <c r="AD109" s="3">
        <v>58.0</v>
      </c>
      <c r="AE109" s="5">
        <v>0.9586</v>
      </c>
      <c r="AF109" s="3">
        <v>278.0</v>
      </c>
      <c r="AG109" s="3">
        <v>5.0</v>
      </c>
      <c r="AH109" s="3">
        <v>0.0</v>
      </c>
      <c r="AI109" s="3">
        <v>4.0</v>
      </c>
      <c r="AJ109" s="3">
        <v>1.0</v>
      </c>
      <c r="AK109" s="3">
        <v>0.0</v>
      </c>
      <c r="AL109" s="3">
        <v>5.0</v>
      </c>
    </row>
    <row r="110">
      <c r="A110" s="1" t="s">
        <v>38</v>
      </c>
      <c r="B110" s="3">
        <v>40407.0</v>
      </c>
      <c r="C110" s="3" t="s">
        <v>145</v>
      </c>
      <c r="D110" s="3" t="s">
        <v>146</v>
      </c>
      <c r="E110" s="1" t="s">
        <v>41</v>
      </c>
      <c r="F110" s="3">
        <v>76999.0</v>
      </c>
      <c r="G110" s="1" t="s">
        <v>481</v>
      </c>
      <c r="H110" s="4">
        <v>45562.46952546296</v>
      </c>
      <c r="I110" s="1" t="s">
        <v>43</v>
      </c>
      <c r="J110" s="1" t="s">
        <v>85</v>
      </c>
      <c r="K110" s="1" t="s">
        <v>63</v>
      </c>
      <c r="L110" s="1" t="s">
        <v>46</v>
      </c>
      <c r="M110" s="1" t="s">
        <v>236</v>
      </c>
      <c r="N110" s="1" t="s">
        <v>482</v>
      </c>
      <c r="O110" s="1" t="s">
        <v>483</v>
      </c>
      <c r="P110" s="3" t="s">
        <v>145</v>
      </c>
      <c r="Q110" s="3" t="s">
        <v>88</v>
      </c>
      <c r="R110" s="3">
        <v>91.0</v>
      </c>
      <c r="S110" s="1" t="s">
        <v>484</v>
      </c>
      <c r="T110" s="1" t="s">
        <v>148</v>
      </c>
      <c r="U110" s="1" t="s">
        <v>157</v>
      </c>
      <c r="V110" s="1" t="s">
        <v>55</v>
      </c>
      <c r="W110" s="1" t="s">
        <v>56</v>
      </c>
      <c r="X110" s="1" t="s">
        <v>57</v>
      </c>
      <c r="Y110" s="1" t="s">
        <v>58</v>
      </c>
      <c r="Z110" s="1" t="s">
        <v>59</v>
      </c>
      <c r="AA110" s="3">
        <v>8.0</v>
      </c>
      <c r="AB110" s="1" t="s">
        <v>60</v>
      </c>
      <c r="AC110" s="3">
        <v>46.0</v>
      </c>
      <c r="AD110" s="3">
        <v>46.0</v>
      </c>
      <c r="AE110" s="5">
        <v>0.8424</v>
      </c>
      <c r="AF110" s="3">
        <v>155.0</v>
      </c>
      <c r="AG110" s="3">
        <v>4.0</v>
      </c>
      <c r="AH110" s="3">
        <v>0.0</v>
      </c>
      <c r="AI110" s="3">
        <v>4.0</v>
      </c>
      <c r="AJ110" s="3">
        <v>0.0</v>
      </c>
      <c r="AK110" s="3">
        <v>0.0</v>
      </c>
      <c r="AL110" s="3">
        <v>4.0</v>
      </c>
    </row>
    <row r="111">
      <c r="A111" s="1" t="s">
        <v>38</v>
      </c>
      <c r="B111" s="3">
        <v>40310.0</v>
      </c>
      <c r="C111" s="6">
        <v>46299.0</v>
      </c>
      <c r="D111" s="3" t="s">
        <v>95</v>
      </c>
      <c r="E111" s="1" t="s">
        <v>41</v>
      </c>
      <c r="F111" s="3">
        <v>88066.0</v>
      </c>
      <c r="G111" s="1" t="s">
        <v>485</v>
      </c>
      <c r="H111" s="4">
        <v>46034.67842592593</v>
      </c>
      <c r="I111" s="1" t="s">
        <v>43</v>
      </c>
      <c r="J111" s="1" t="s">
        <v>486</v>
      </c>
      <c r="K111" s="1" t="s">
        <v>285</v>
      </c>
      <c r="L111" s="1" t="s">
        <v>46</v>
      </c>
      <c r="M111" s="1" t="s">
        <v>47</v>
      </c>
      <c r="N111" s="1" t="s">
        <v>487</v>
      </c>
      <c r="O111" s="1" t="s">
        <v>488</v>
      </c>
      <c r="P111" s="3" t="s">
        <v>68</v>
      </c>
      <c r="Q111" s="3" t="s">
        <v>88</v>
      </c>
      <c r="R111" s="3">
        <v>1986.0</v>
      </c>
      <c r="S111" s="1" t="s">
        <v>129</v>
      </c>
      <c r="T111" s="1" t="s">
        <v>53</v>
      </c>
      <c r="U111" s="1" t="s">
        <v>81</v>
      </c>
      <c r="V111" s="1" t="s">
        <v>130</v>
      </c>
      <c r="W111" s="1" t="s">
        <v>56</v>
      </c>
      <c r="X111" s="1" t="s">
        <v>57</v>
      </c>
      <c r="Y111" s="1" t="s">
        <v>58</v>
      </c>
      <c r="Z111" s="1" t="s">
        <v>59</v>
      </c>
      <c r="AA111" s="3">
        <v>8.0</v>
      </c>
      <c r="AB111" s="1" t="s">
        <v>144</v>
      </c>
      <c r="AC111" s="3">
        <v>34.0</v>
      </c>
      <c r="AD111" s="3">
        <v>34.0</v>
      </c>
      <c r="AE111" s="5">
        <v>0.5588</v>
      </c>
      <c r="AF111" s="3">
        <v>38.0</v>
      </c>
      <c r="AG111" s="3">
        <v>2.0</v>
      </c>
      <c r="AH111" s="3">
        <v>0.0</v>
      </c>
      <c r="AI111" s="3">
        <v>2.0</v>
      </c>
      <c r="AJ111" s="3">
        <v>0.0</v>
      </c>
      <c r="AK111" s="3">
        <v>0.0</v>
      </c>
      <c r="AL111" s="3">
        <v>2.0</v>
      </c>
    </row>
    <row r="112">
      <c r="A112" s="1" t="s">
        <v>38</v>
      </c>
      <c r="B112" s="3">
        <v>40426.0</v>
      </c>
      <c r="C112" s="3" t="s">
        <v>145</v>
      </c>
      <c r="D112" s="3" t="s">
        <v>146</v>
      </c>
      <c r="E112" s="1" t="s">
        <v>41</v>
      </c>
      <c r="F112" s="3">
        <v>74370.0</v>
      </c>
      <c r="G112" s="1" t="s">
        <v>489</v>
      </c>
      <c r="H112" s="4">
        <v>45489.33076388889</v>
      </c>
      <c r="I112" s="1" t="s">
        <v>180</v>
      </c>
      <c r="J112" s="1" t="s">
        <v>103</v>
      </c>
      <c r="K112" s="1" t="s">
        <v>104</v>
      </c>
      <c r="L112" s="1" t="s">
        <v>46</v>
      </c>
      <c r="M112" s="1" t="s">
        <v>490</v>
      </c>
      <c r="O112" s="1" t="s">
        <v>491</v>
      </c>
      <c r="P112" s="3" t="s">
        <v>50</v>
      </c>
      <c r="Q112" s="3" t="s">
        <v>51</v>
      </c>
      <c r="R112" s="3">
        <v>92.0</v>
      </c>
      <c r="S112" s="1" t="s">
        <v>492</v>
      </c>
      <c r="T112" s="1" t="s">
        <v>148</v>
      </c>
      <c r="U112" s="1" t="s">
        <v>157</v>
      </c>
      <c r="V112" s="1" t="s">
        <v>55</v>
      </c>
      <c r="W112" s="1" t="s">
        <v>56</v>
      </c>
      <c r="X112" s="1" t="s">
        <v>57</v>
      </c>
      <c r="Y112" s="1" t="s">
        <v>58</v>
      </c>
      <c r="Z112" s="1" t="s">
        <v>59</v>
      </c>
      <c r="AA112" s="3">
        <v>8.0</v>
      </c>
      <c r="AB112" s="1" t="s">
        <v>60</v>
      </c>
      <c r="AC112" s="3">
        <v>37.0</v>
      </c>
      <c r="AD112" s="3">
        <v>37.0</v>
      </c>
      <c r="AE112" s="5">
        <v>0.8198</v>
      </c>
      <c r="AF112" s="3">
        <v>91.0</v>
      </c>
      <c r="AG112" s="3">
        <v>3.0</v>
      </c>
      <c r="AH112" s="3">
        <v>0.0</v>
      </c>
      <c r="AI112" s="3">
        <v>3.0</v>
      </c>
      <c r="AJ112" s="3">
        <v>0.0</v>
      </c>
      <c r="AK112" s="3">
        <v>0.0</v>
      </c>
      <c r="AL112" s="3">
        <v>3.0</v>
      </c>
    </row>
    <row r="113">
      <c r="A113" s="1" t="s">
        <v>38</v>
      </c>
      <c r="B113" s="3">
        <v>40257.0</v>
      </c>
      <c r="C113" s="6">
        <v>46026.0</v>
      </c>
      <c r="D113" s="3" t="s">
        <v>40</v>
      </c>
      <c r="E113" s="1" t="s">
        <v>41</v>
      </c>
      <c r="F113" s="3">
        <v>88905.0</v>
      </c>
      <c r="G113" s="1" t="s">
        <v>493</v>
      </c>
      <c r="H113" s="4">
        <v>46082.54666666667</v>
      </c>
      <c r="I113" s="1" t="s">
        <v>43</v>
      </c>
      <c r="J113" s="1" t="s">
        <v>151</v>
      </c>
      <c r="K113" s="1" t="s">
        <v>152</v>
      </c>
      <c r="L113" s="1" t="s">
        <v>46</v>
      </c>
      <c r="M113" s="1" t="s">
        <v>47</v>
      </c>
      <c r="N113" s="1" t="s">
        <v>494</v>
      </c>
      <c r="O113" s="1" t="s">
        <v>495</v>
      </c>
      <c r="P113" s="3" t="s">
        <v>67</v>
      </c>
      <c r="Q113" s="3" t="s">
        <v>68</v>
      </c>
      <c r="R113" s="3">
        <v>1784.0</v>
      </c>
      <c r="S113" s="1" t="s">
        <v>328</v>
      </c>
      <c r="T113" s="1" t="s">
        <v>53</v>
      </c>
      <c r="U113" s="1" t="s">
        <v>81</v>
      </c>
      <c r="V113" s="1" t="s">
        <v>71</v>
      </c>
      <c r="W113" s="1" t="s">
        <v>56</v>
      </c>
      <c r="X113" s="1" t="s">
        <v>72</v>
      </c>
      <c r="Y113" s="1" t="s">
        <v>58</v>
      </c>
      <c r="Z113" s="1" t="s">
        <v>59</v>
      </c>
      <c r="AA113" s="3">
        <v>8.0</v>
      </c>
      <c r="AB113" s="1" t="s">
        <v>60</v>
      </c>
      <c r="AC113" s="3">
        <v>111.0</v>
      </c>
      <c r="AD113" s="3">
        <v>111.0</v>
      </c>
      <c r="AE113" s="5">
        <v>0.5428</v>
      </c>
      <c r="AF113" s="3">
        <v>241.0</v>
      </c>
      <c r="AG113" s="3">
        <v>4.0</v>
      </c>
      <c r="AH113" s="3">
        <v>0.0</v>
      </c>
      <c r="AI113" s="3">
        <v>4.0</v>
      </c>
      <c r="AJ113" s="3">
        <v>0.0</v>
      </c>
      <c r="AK113" s="3">
        <v>0.0</v>
      </c>
      <c r="AL113" s="3">
        <v>4.0</v>
      </c>
    </row>
    <row r="114">
      <c r="A114" s="1" t="s">
        <v>38</v>
      </c>
      <c r="B114" s="3">
        <v>40323.0</v>
      </c>
      <c r="C114" s="6">
        <v>46026.0</v>
      </c>
      <c r="D114" s="3" t="s">
        <v>40</v>
      </c>
      <c r="E114" s="1" t="s">
        <v>41</v>
      </c>
      <c r="F114" s="3">
        <v>78072.0</v>
      </c>
      <c r="G114" s="1" t="s">
        <v>496</v>
      </c>
      <c r="H114" s="4">
        <v>45612.83540509259</v>
      </c>
      <c r="I114" s="1" t="s">
        <v>43</v>
      </c>
      <c r="J114" s="1" t="s">
        <v>497</v>
      </c>
      <c r="K114" s="1" t="s">
        <v>498</v>
      </c>
      <c r="L114" s="1" t="s">
        <v>46</v>
      </c>
      <c r="M114" s="1" t="s">
        <v>64</v>
      </c>
      <c r="N114" s="1" t="s">
        <v>125</v>
      </c>
      <c r="O114" s="1" t="s">
        <v>499</v>
      </c>
      <c r="P114" s="3" t="s">
        <v>51</v>
      </c>
      <c r="Q114" s="3" t="s">
        <v>51</v>
      </c>
      <c r="R114" s="3">
        <v>1783.0</v>
      </c>
      <c r="S114" s="1" t="s">
        <v>323</v>
      </c>
      <c r="T114" s="1" t="s">
        <v>53</v>
      </c>
      <c r="U114" s="1" t="s">
        <v>70</v>
      </c>
      <c r="V114" s="1" t="s">
        <v>71</v>
      </c>
      <c r="W114" s="1" t="s">
        <v>56</v>
      </c>
      <c r="X114" s="1" t="s">
        <v>72</v>
      </c>
      <c r="Y114" s="1" t="s">
        <v>58</v>
      </c>
      <c r="Z114" s="1" t="s">
        <v>59</v>
      </c>
      <c r="AA114" s="3">
        <v>6.0</v>
      </c>
      <c r="AB114" s="1" t="s">
        <v>60</v>
      </c>
      <c r="AC114" s="3">
        <v>25.0</v>
      </c>
      <c r="AD114" s="3">
        <v>25.0</v>
      </c>
      <c r="AE114" s="5">
        <v>0.92</v>
      </c>
      <c r="AF114" s="3">
        <v>23.0</v>
      </c>
      <c r="AG114" s="3">
        <v>1.0</v>
      </c>
      <c r="AH114" s="3">
        <v>0.0</v>
      </c>
      <c r="AI114" s="3">
        <v>1.0</v>
      </c>
      <c r="AJ114" s="3">
        <v>0.0</v>
      </c>
      <c r="AK114" s="3">
        <v>0.0</v>
      </c>
      <c r="AL114" s="3">
        <v>1.0</v>
      </c>
    </row>
    <row r="115">
      <c r="A115" s="1" t="s">
        <v>38</v>
      </c>
      <c r="B115" s="3">
        <v>40317.0</v>
      </c>
      <c r="C115" s="6">
        <v>46026.0</v>
      </c>
      <c r="D115" s="3" t="s">
        <v>40</v>
      </c>
      <c r="E115" s="1" t="s">
        <v>41</v>
      </c>
      <c r="F115" s="3">
        <v>89795.0</v>
      </c>
      <c r="G115" s="1" t="s">
        <v>500</v>
      </c>
      <c r="H115" s="4">
        <v>46134.60690972222</v>
      </c>
      <c r="I115" s="1" t="s">
        <v>133</v>
      </c>
      <c r="J115" s="1" t="s">
        <v>501</v>
      </c>
      <c r="K115" s="1" t="s">
        <v>331</v>
      </c>
      <c r="L115" s="1" t="s">
        <v>46</v>
      </c>
      <c r="M115" s="1" t="s">
        <v>47</v>
      </c>
      <c r="N115" s="1" t="s">
        <v>502</v>
      </c>
      <c r="O115" s="1" t="s">
        <v>503</v>
      </c>
      <c r="P115" s="3" t="s">
        <v>51</v>
      </c>
      <c r="Q115" s="3" t="s">
        <v>51</v>
      </c>
      <c r="R115" s="3">
        <v>1781.0</v>
      </c>
      <c r="S115" s="1" t="s">
        <v>504</v>
      </c>
      <c r="T115" s="1" t="s">
        <v>53</v>
      </c>
      <c r="U115" s="1" t="s">
        <v>70</v>
      </c>
      <c r="V115" s="1" t="s">
        <v>71</v>
      </c>
      <c r="W115" s="1" t="s">
        <v>56</v>
      </c>
      <c r="X115" s="1" t="s">
        <v>72</v>
      </c>
      <c r="Y115" s="1" t="s">
        <v>58</v>
      </c>
      <c r="Z115" s="1" t="s">
        <v>59</v>
      </c>
      <c r="AA115" s="3">
        <v>6.0</v>
      </c>
      <c r="AB115" s="1" t="s">
        <v>60</v>
      </c>
      <c r="AC115" s="3">
        <v>22.0</v>
      </c>
      <c r="AD115" s="3">
        <v>22.0</v>
      </c>
      <c r="AE115" s="5">
        <v>0.9091</v>
      </c>
      <c r="AF115" s="3">
        <v>20.0</v>
      </c>
      <c r="AG115" s="3">
        <v>1.0</v>
      </c>
      <c r="AH115" s="3">
        <v>0.0</v>
      </c>
      <c r="AI115" s="3">
        <v>1.0</v>
      </c>
      <c r="AJ115" s="3">
        <v>0.0</v>
      </c>
      <c r="AK115" s="3">
        <v>0.0</v>
      </c>
      <c r="AL115" s="3">
        <v>1.0</v>
      </c>
    </row>
    <row r="116">
      <c r="A116" s="1" t="s">
        <v>38</v>
      </c>
      <c r="B116" s="3">
        <v>40374.0</v>
      </c>
      <c r="C116" s="3" t="s">
        <v>39</v>
      </c>
      <c r="D116" s="3" t="s">
        <v>40</v>
      </c>
      <c r="E116" s="1" t="s">
        <v>41</v>
      </c>
      <c r="F116" s="3">
        <v>87598.0</v>
      </c>
      <c r="G116" s="1" t="s">
        <v>505</v>
      </c>
      <c r="H116" s="4">
        <v>46010.987280092595</v>
      </c>
      <c r="I116" s="1" t="s">
        <v>43</v>
      </c>
      <c r="J116" s="1" t="s">
        <v>506</v>
      </c>
      <c r="K116" s="1" t="s">
        <v>285</v>
      </c>
      <c r="L116" s="1" t="s">
        <v>46</v>
      </c>
      <c r="M116" s="1" t="s">
        <v>47</v>
      </c>
      <c r="N116" s="1" t="s">
        <v>507</v>
      </c>
      <c r="O116" s="1" t="s">
        <v>508</v>
      </c>
      <c r="P116" s="3" t="s">
        <v>113</v>
      </c>
      <c r="Q116" s="3" t="s">
        <v>51</v>
      </c>
      <c r="R116" s="3">
        <v>1945.0</v>
      </c>
      <c r="S116" s="1" t="s">
        <v>370</v>
      </c>
      <c r="T116" s="1" t="s">
        <v>53</v>
      </c>
      <c r="U116" s="1" t="s">
        <v>115</v>
      </c>
      <c r="V116" s="1" t="s">
        <v>55</v>
      </c>
      <c r="W116" s="1" t="s">
        <v>56</v>
      </c>
      <c r="X116" s="1" t="s">
        <v>57</v>
      </c>
      <c r="Y116" s="1" t="s">
        <v>58</v>
      </c>
      <c r="Z116" s="1" t="s">
        <v>59</v>
      </c>
      <c r="AA116" s="3">
        <v>7.0</v>
      </c>
      <c r="AB116" s="1" t="s">
        <v>60</v>
      </c>
      <c r="AC116" s="3">
        <v>30.0</v>
      </c>
      <c r="AD116" s="3">
        <v>30.0</v>
      </c>
      <c r="AE116" s="5">
        <v>0.88</v>
      </c>
      <c r="AF116" s="3">
        <v>132.0</v>
      </c>
      <c r="AG116" s="3">
        <v>5.0</v>
      </c>
      <c r="AH116" s="3">
        <v>0.0</v>
      </c>
      <c r="AI116" s="3">
        <v>5.0</v>
      </c>
      <c r="AJ116" s="3">
        <v>0.0</v>
      </c>
      <c r="AK116" s="3">
        <v>0.0</v>
      </c>
      <c r="AL116" s="3">
        <v>5.0</v>
      </c>
    </row>
    <row r="117">
      <c r="A117" s="1" t="s">
        <v>38</v>
      </c>
      <c r="B117" s="3">
        <v>40267.0</v>
      </c>
      <c r="C117" s="6">
        <v>46026.0</v>
      </c>
      <c r="D117" s="3" t="s">
        <v>40</v>
      </c>
      <c r="E117" s="1" t="s">
        <v>41</v>
      </c>
      <c r="F117" s="3">
        <v>88855.0</v>
      </c>
      <c r="G117" s="1" t="s">
        <v>509</v>
      </c>
      <c r="H117" s="4">
        <v>46079.49087962963</v>
      </c>
      <c r="I117" s="1" t="s">
        <v>43</v>
      </c>
      <c r="J117" s="1" t="s">
        <v>510</v>
      </c>
      <c r="K117" s="1" t="s">
        <v>124</v>
      </c>
      <c r="L117" s="1" t="s">
        <v>46</v>
      </c>
      <c r="M117" s="1" t="s">
        <v>64</v>
      </c>
      <c r="N117" s="1" t="s">
        <v>125</v>
      </c>
      <c r="O117" s="1" t="s">
        <v>511</v>
      </c>
      <c r="P117" s="3" t="s">
        <v>178</v>
      </c>
      <c r="Q117" s="3" t="s">
        <v>51</v>
      </c>
      <c r="R117" s="3">
        <v>1790.0</v>
      </c>
      <c r="S117" s="1" t="s">
        <v>206</v>
      </c>
      <c r="T117" s="1" t="s">
        <v>53</v>
      </c>
      <c r="U117" s="1" t="s">
        <v>70</v>
      </c>
      <c r="V117" s="1" t="s">
        <v>71</v>
      </c>
      <c r="W117" s="1" t="s">
        <v>56</v>
      </c>
      <c r="X117" s="1" t="s">
        <v>72</v>
      </c>
      <c r="Y117" s="1" t="s">
        <v>58</v>
      </c>
      <c r="Z117" s="1" t="s">
        <v>59</v>
      </c>
      <c r="AA117" s="3">
        <v>8.0</v>
      </c>
      <c r="AB117" s="1" t="s">
        <v>60</v>
      </c>
      <c r="AC117" s="3">
        <v>27.0</v>
      </c>
      <c r="AD117" s="3">
        <v>27.0</v>
      </c>
      <c r="AE117" s="5">
        <v>0.6914</v>
      </c>
      <c r="AF117" s="3">
        <v>112.0</v>
      </c>
      <c r="AG117" s="3">
        <v>6.0</v>
      </c>
      <c r="AH117" s="3">
        <v>0.0</v>
      </c>
      <c r="AI117" s="3">
        <v>6.0</v>
      </c>
      <c r="AJ117" s="3">
        <v>0.0</v>
      </c>
      <c r="AK117" s="3">
        <v>0.0</v>
      </c>
      <c r="AL117" s="3">
        <v>6.0</v>
      </c>
    </row>
    <row r="118">
      <c r="A118" s="1" t="s">
        <v>38</v>
      </c>
      <c r="B118" s="3">
        <v>40425.0</v>
      </c>
      <c r="C118" s="3" t="s">
        <v>145</v>
      </c>
      <c r="D118" s="3" t="s">
        <v>146</v>
      </c>
      <c r="E118" s="1" t="s">
        <v>41</v>
      </c>
      <c r="F118" s="3">
        <v>58113.0</v>
      </c>
      <c r="G118" s="1" t="s">
        <v>512</v>
      </c>
      <c r="H118" s="4">
        <v>44733.337696759256</v>
      </c>
      <c r="I118" s="1" t="s">
        <v>43</v>
      </c>
      <c r="J118" s="1" t="s">
        <v>151</v>
      </c>
      <c r="K118" s="1" t="s">
        <v>152</v>
      </c>
      <c r="L118" s="1" t="s">
        <v>46</v>
      </c>
      <c r="M118" s="1" t="s">
        <v>141</v>
      </c>
      <c r="N118" s="1" t="s">
        <v>513</v>
      </c>
      <c r="O118" s="1" t="s">
        <v>514</v>
      </c>
      <c r="P118" s="3" t="s">
        <v>145</v>
      </c>
      <c r="Q118" s="3" t="s">
        <v>88</v>
      </c>
      <c r="R118" s="3">
        <v>92.0</v>
      </c>
      <c r="S118" s="1" t="s">
        <v>492</v>
      </c>
      <c r="T118" s="1" t="s">
        <v>148</v>
      </c>
      <c r="U118" s="1" t="s">
        <v>157</v>
      </c>
      <c r="V118" s="1" t="s">
        <v>55</v>
      </c>
      <c r="W118" s="1" t="s">
        <v>56</v>
      </c>
      <c r="X118" s="1" t="s">
        <v>57</v>
      </c>
      <c r="Y118" s="1" t="s">
        <v>58</v>
      </c>
      <c r="Z118" s="1" t="s">
        <v>59</v>
      </c>
      <c r="AA118" s="3">
        <v>7.0</v>
      </c>
      <c r="AB118" s="1" t="s">
        <v>60</v>
      </c>
      <c r="AC118" s="3">
        <v>37.0</v>
      </c>
      <c r="AD118" s="3">
        <v>37.0</v>
      </c>
      <c r="AE118" s="5">
        <v>0.9189</v>
      </c>
      <c r="AF118" s="3">
        <v>170.0</v>
      </c>
      <c r="AG118" s="3">
        <v>5.0</v>
      </c>
      <c r="AH118" s="3">
        <v>0.0</v>
      </c>
      <c r="AI118" s="3">
        <v>5.0</v>
      </c>
      <c r="AJ118" s="3">
        <v>0.0</v>
      </c>
      <c r="AK118" s="3">
        <v>0.0</v>
      </c>
      <c r="AL118" s="3">
        <v>5.0</v>
      </c>
    </row>
    <row r="119">
      <c r="A119" s="1" t="s">
        <v>38</v>
      </c>
      <c r="B119" s="3">
        <v>40372.0</v>
      </c>
      <c r="C119" s="3" t="s">
        <v>39</v>
      </c>
      <c r="D119" s="3" t="s">
        <v>40</v>
      </c>
      <c r="E119" s="1" t="s">
        <v>41</v>
      </c>
      <c r="F119" s="3">
        <v>80569.0</v>
      </c>
      <c r="G119" s="1" t="s">
        <v>515</v>
      </c>
      <c r="H119" s="4">
        <v>45735.5265625</v>
      </c>
      <c r="I119" s="1" t="s">
        <v>43</v>
      </c>
      <c r="J119" s="1" t="s">
        <v>97</v>
      </c>
      <c r="K119" s="1" t="s">
        <v>63</v>
      </c>
      <c r="L119" s="1" t="s">
        <v>46</v>
      </c>
      <c r="M119" s="1" t="s">
        <v>141</v>
      </c>
      <c r="N119" s="1" t="s">
        <v>516</v>
      </c>
      <c r="O119" s="1" t="s">
        <v>517</v>
      </c>
      <c r="P119" s="3" t="s">
        <v>145</v>
      </c>
      <c r="Q119" s="3" t="s">
        <v>88</v>
      </c>
      <c r="R119" s="3">
        <v>1947.0</v>
      </c>
      <c r="S119" s="1" t="s">
        <v>518</v>
      </c>
      <c r="T119" s="1" t="s">
        <v>53</v>
      </c>
      <c r="U119" s="1" t="s">
        <v>115</v>
      </c>
      <c r="V119" s="1" t="s">
        <v>55</v>
      </c>
      <c r="W119" s="1" t="s">
        <v>56</v>
      </c>
      <c r="X119" s="1" t="s">
        <v>57</v>
      </c>
      <c r="Y119" s="1" t="s">
        <v>58</v>
      </c>
      <c r="Z119" s="1" t="s">
        <v>59</v>
      </c>
      <c r="AA119" s="3">
        <v>7.0</v>
      </c>
      <c r="AB119" s="1" t="s">
        <v>60</v>
      </c>
      <c r="AC119" s="3">
        <v>19.0</v>
      </c>
      <c r="AD119" s="3">
        <v>17.0</v>
      </c>
      <c r="AE119" s="5">
        <v>0.6082</v>
      </c>
      <c r="AF119" s="3">
        <v>59.0</v>
      </c>
      <c r="AG119" s="3">
        <v>5.0</v>
      </c>
      <c r="AH119" s="3">
        <v>0.0</v>
      </c>
      <c r="AI119" s="3">
        <v>5.0</v>
      </c>
      <c r="AJ119" s="3">
        <v>0.0</v>
      </c>
      <c r="AK119" s="3">
        <v>0.0</v>
      </c>
      <c r="AL119" s="3">
        <v>5.0</v>
      </c>
    </row>
    <row r="120">
      <c r="A120" s="1" t="s">
        <v>38</v>
      </c>
      <c r="B120" s="3">
        <v>40373.0</v>
      </c>
      <c r="C120" s="3" t="s">
        <v>39</v>
      </c>
      <c r="D120" s="3" t="s">
        <v>40</v>
      </c>
      <c r="E120" s="1" t="s">
        <v>41</v>
      </c>
      <c r="F120" s="3">
        <v>80569.0</v>
      </c>
      <c r="G120" s="1" t="s">
        <v>515</v>
      </c>
      <c r="H120" s="4">
        <v>45735.5265625</v>
      </c>
      <c r="I120" s="1" t="s">
        <v>43</v>
      </c>
      <c r="J120" s="1" t="s">
        <v>97</v>
      </c>
      <c r="K120" s="1" t="s">
        <v>63</v>
      </c>
      <c r="L120" s="1" t="s">
        <v>46</v>
      </c>
      <c r="M120" s="1" t="s">
        <v>141</v>
      </c>
      <c r="N120" s="1" t="s">
        <v>516</v>
      </c>
      <c r="O120" s="1" t="s">
        <v>517</v>
      </c>
      <c r="P120" s="3" t="s">
        <v>113</v>
      </c>
      <c r="Q120" s="3" t="s">
        <v>51</v>
      </c>
      <c r="R120" s="3">
        <v>1947.0</v>
      </c>
      <c r="S120" s="1" t="s">
        <v>518</v>
      </c>
      <c r="T120" s="1" t="s">
        <v>53</v>
      </c>
      <c r="U120" s="1" t="s">
        <v>115</v>
      </c>
      <c r="V120" s="1" t="s">
        <v>55</v>
      </c>
      <c r="W120" s="1" t="s">
        <v>56</v>
      </c>
      <c r="X120" s="1" t="s">
        <v>57</v>
      </c>
      <c r="Y120" s="1" t="s">
        <v>58</v>
      </c>
      <c r="Z120" s="1" t="s">
        <v>59</v>
      </c>
      <c r="AA120" s="3">
        <v>8.0</v>
      </c>
      <c r="AB120" s="1" t="s">
        <v>60</v>
      </c>
      <c r="AC120" s="3">
        <v>21.0</v>
      </c>
      <c r="AD120" s="3">
        <v>17.0</v>
      </c>
      <c r="AE120" s="5">
        <v>0.6706</v>
      </c>
      <c r="AF120" s="3">
        <v>57.0</v>
      </c>
      <c r="AG120" s="3">
        <v>5.0</v>
      </c>
      <c r="AH120" s="3">
        <v>0.0</v>
      </c>
      <c r="AI120" s="3">
        <v>5.0</v>
      </c>
      <c r="AJ120" s="3">
        <v>0.0</v>
      </c>
      <c r="AK120" s="3">
        <v>0.0</v>
      </c>
      <c r="AL120" s="3">
        <v>5.0</v>
      </c>
    </row>
    <row r="121">
      <c r="A121" s="1" t="s">
        <v>38</v>
      </c>
      <c r="B121" s="3">
        <v>40369.0</v>
      </c>
      <c r="C121" s="3" t="s">
        <v>39</v>
      </c>
      <c r="D121" s="3" t="s">
        <v>40</v>
      </c>
      <c r="E121" s="1" t="s">
        <v>41</v>
      </c>
      <c r="F121" s="3">
        <v>86045.0</v>
      </c>
      <c r="G121" s="1" t="s">
        <v>519</v>
      </c>
      <c r="H121" s="4">
        <v>45922.12181712963</v>
      </c>
      <c r="I121" s="1" t="s">
        <v>43</v>
      </c>
      <c r="J121" s="1" t="s">
        <v>520</v>
      </c>
      <c r="K121" s="1" t="s">
        <v>521</v>
      </c>
      <c r="L121" s="1" t="s">
        <v>390</v>
      </c>
      <c r="M121" s="1" t="s">
        <v>77</v>
      </c>
      <c r="N121" s="1" t="s">
        <v>65</v>
      </c>
      <c r="O121" s="1" t="s">
        <v>522</v>
      </c>
      <c r="P121" s="3" t="s">
        <v>145</v>
      </c>
      <c r="Q121" s="3" t="s">
        <v>88</v>
      </c>
      <c r="R121" s="3">
        <v>1948.0</v>
      </c>
      <c r="S121" s="1" t="s">
        <v>52</v>
      </c>
      <c r="T121" s="1" t="s">
        <v>53</v>
      </c>
      <c r="U121" s="1" t="s">
        <v>54</v>
      </c>
      <c r="V121" s="1" t="s">
        <v>55</v>
      </c>
      <c r="W121" s="1" t="s">
        <v>56</v>
      </c>
      <c r="X121" s="1" t="s">
        <v>57</v>
      </c>
      <c r="Y121" s="1" t="s">
        <v>58</v>
      </c>
      <c r="Z121" s="1" t="s">
        <v>59</v>
      </c>
      <c r="AA121" s="3">
        <v>8.0</v>
      </c>
      <c r="AB121" s="1" t="s">
        <v>60</v>
      </c>
      <c r="AC121" s="3">
        <v>23.0</v>
      </c>
      <c r="AD121" s="3">
        <v>23.0</v>
      </c>
      <c r="AE121" s="5">
        <v>0.5739</v>
      </c>
      <c r="AF121" s="3">
        <v>66.0</v>
      </c>
      <c r="AG121" s="3">
        <v>5.0</v>
      </c>
      <c r="AH121" s="3">
        <v>0.0</v>
      </c>
      <c r="AI121" s="3">
        <v>5.0</v>
      </c>
      <c r="AJ121" s="3">
        <v>0.0</v>
      </c>
      <c r="AK121" s="3">
        <v>0.0</v>
      </c>
      <c r="AL121" s="3">
        <v>5.0</v>
      </c>
    </row>
    <row r="122">
      <c r="A122" s="1" t="s">
        <v>38</v>
      </c>
      <c r="B122" s="3">
        <v>40268.0</v>
      </c>
      <c r="C122" s="6">
        <v>46026.0</v>
      </c>
      <c r="D122" s="3" t="s">
        <v>40</v>
      </c>
      <c r="E122" s="1" t="s">
        <v>41</v>
      </c>
      <c r="F122" s="3">
        <v>89819.0</v>
      </c>
      <c r="G122" s="1" t="s">
        <v>523</v>
      </c>
      <c r="H122" s="4">
        <v>46134.87342592593</v>
      </c>
      <c r="I122" s="1" t="s">
        <v>133</v>
      </c>
      <c r="J122" s="1" t="s">
        <v>151</v>
      </c>
      <c r="K122" s="1" t="s">
        <v>152</v>
      </c>
      <c r="L122" s="1" t="s">
        <v>46</v>
      </c>
      <c r="M122" s="1" t="s">
        <v>47</v>
      </c>
      <c r="N122" s="1" t="s">
        <v>524</v>
      </c>
      <c r="O122" s="1" t="s">
        <v>525</v>
      </c>
      <c r="P122" s="3" t="s">
        <v>100</v>
      </c>
      <c r="Q122" s="3" t="s">
        <v>88</v>
      </c>
      <c r="R122" s="3">
        <v>1780.0</v>
      </c>
      <c r="S122" s="1" t="s">
        <v>526</v>
      </c>
      <c r="T122" s="1" t="s">
        <v>53</v>
      </c>
      <c r="U122" s="1" t="s">
        <v>70</v>
      </c>
      <c r="V122" s="1" t="s">
        <v>71</v>
      </c>
      <c r="W122" s="1" t="s">
        <v>56</v>
      </c>
      <c r="X122" s="1" t="s">
        <v>72</v>
      </c>
      <c r="Y122" s="1" t="s">
        <v>58</v>
      </c>
      <c r="Z122" s="1" t="s">
        <v>59</v>
      </c>
      <c r="AA122" s="3">
        <v>6.0</v>
      </c>
      <c r="AB122" s="1" t="s">
        <v>82</v>
      </c>
      <c r="AC122" s="3">
        <v>14.0</v>
      </c>
      <c r="AD122" s="3">
        <v>14.0</v>
      </c>
      <c r="AE122" s="5">
        <v>0.9643</v>
      </c>
      <c r="AF122" s="3">
        <v>27.0</v>
      </c>
      <c r="AG122" s="3">
        <v>2.0</v>
      </c>
      <c r="AH122" s="3">
        <v>0.0</v>
      </c>
      <c r="AI122" s="3">
        <v>2.0</v>
      </c>
      <c r="AJ122" s="3">
        <v>0.0</v>
      </c>
      <c r="AK122" s="3">
        <v>0.0</v>
      </c>
      <c r="AL122" s="3">
        <v>2.0</v>
      </c>
    </row>
    <row r="123">
      <c r="A123" s="1" t="s">
        <v>38</v>
      </c>
      <c r="B123" s="3">
        <v>40357.0</v>
      </c>
      <c r="C123" s="6">
        <v>46026.0</v>
      </c>
      <c r="D123" s="3" t="s">
        <v>40</v>
      </c>
      <c r="E123" s="1" t="s">
        <v>41</v>
      </c>
      <c r="F123" s="3">
        <v>89796.0</v>
      </c>
      <c r="G123" s="1" t="s">
        <v>527</v>
      </c>
      <c r="H123" s="4">
        <v>46134.614953703705</v>
      </c>
      <c r="I123" s="1" t="s">
        <v>133</v>
      </c>
      <c r="J123" s="1" t="s">
        <v>97</v>
      </c>
      <c r="K123" s="1" t="s">
        <v>63</v>
      </c>
      <c r="L123" s="1" t="s">
        <v>46</v>
      </c>
      <c r="M123" s="1" t="s">
        <v>47</v>
      </c>
      <c r="N123" s="1" t="s">
        <v>245</v>
      </c>
      <c r="O123" s="1" t="s">
        <v>528</v>
      </c>
      <c r="P123" s="3" t="s">
        <v>100</v>
      </c>
      <c r="Q123" s="3" t="s">
        <v>128</v>
      </c>
      <c r="R123" s="3">
        <v>1793.0</v>
      </c>
      <c r="S123" s="1" t="s">
        <v>376</v>
      </c>
      <c r="T123" s="1" t="s">
        <v>53</v>
      </c>
      <c r="U123" s="1" t="s">
        <v>81</v>
      </c>
      <c r="V123" s="1" t="s">
        <v>71</v>
      </c>
      <c r="W123" s="1" t="s">
        <v>56</v>
      </c>
      <c r="X123" s="1" t="s">
        <v>72</v>
      </c>
      <c r="Y123" s="1" t="s">
        <v>58</v>
      </c>
      <c r="Z123" s="1" t="s">
        <v>59</v>
      </c>
      <c r="AA123" s="3">
        <v>6.0</v>
      </c>
      <c r="AB123" s="1" t="s">
        <v>82</v>
      </c>
      <c r="AC123" s="3">
        <v>20.0</v>
      </c>
      <c r="AD123" s="3">
        <v>20.0</v>
      </c>
      <c r="AE123" s="5">
        <v>0.95</v>
      </c>
      <c r="AF123" s="3">
        <v>38.0</v>
      </c>
      <c r="AG123" s="3">
        <v>2.0</v>
      </c>
      <c r="AH123" s="3">
        <v>0.0</v>
      </c>
      <c r="AI123" s="3">
        <v>2.0</v>
      </c>
      <c r="AJ123" s="3">
        <v>0.0</v>
      </c>
      <c r="AK123" s="3">
        <v>0.0</v>
      </c>
      <c r="AL123" s="3">
        <v>2.0</v>
      </c>
    </row>
    <row r="124">
      <c r="A124" s="1" t="s">
        <v>38</v>
      </c>
      <c r="B124" s="3">
        <v>40274.0</v>
      </c>
      <c r="C124" s="6">
        <v>46026.0</v>
      </c>
      <c r="D124" s="3" t="s">
        <v>40</v>
      </c>
      <c r="E124" s="1" t="s">
        <v>41</v>
      </c>
      <c r="F124" s="3">
        <v>89656.0</v>
      </c>
      <c r="G124" s="1" t="s">
        <v>529</v>
      </c>
      <c r="H124" s="4">
        <v>46131.609131944446</v>
      </c>
      <c r="I124" s="1" t="s">
        <v>43</v>
      </c>
      <c r="J124" s="1" t="s">
        <v>530</v>
      </c>
      <c r="K124" s="1" t="s">
        <v>235</v>
      </c>
      <c r="L124" s="1" t="s">
        <v>46</v>
      </c>
      <c r="M124" s="1" t="s">
        <v>64</v>
      </c>
      <c r="N124" s="1" t="s">
        <v>326</v>
      </c>
      <c r="O124" s="1" t="s">
        <v>531</v>
      </c>
      <c r="P124" s="3" t="s">
        <v>100</v>
      </c>
      <c r="Q124" s="3" t="s">
        <v>88</v>
      </c>
      <c r="R124" s="3">
        <v>1792.0</v>
      </c>
      <c r="S124" s="1" t="s">
        <v>266</v>
      </c>
      <c r="T124" s="1" t="s">
        <v>53</v>
      </c>
      <c r="U124" s="1" t="s">
        <v>81</v>
      </c>
      <c r="V124" s="1" t="s">
        <v>71</v>
      </c>
      <c r="W124" s="1" t="s">
        <v>56</v>
      </c>
      <c r="X124" s="1" t="s">
        <v>72</v>
      </c>
      <c r="Y124" s="1" t="s">
        <v>58</v>
      </c>
      <c r="Z124" s="1" t="s">
        <v>59</v>
      </c>
      <c r="AA124" s="3">
        <v>6.0</v>
      </c>
      <c r="AB124" s="1" t="s">
        <v>82</v>
      </c>
      <c r="AC124" s="3">
        <v>11.0</v>
      </c>
      <c r="AD124" s="3">
        <v>11.0</v>
      </c>
      <c r="AE124" s="5">
        <v>0.7273</v>
      </c>
      <c r="AF124" s="3">
        <v>16.0</v>
      </c>
      <c r="AG124" s="3">
        <v>2.0</v>
      </c>
      <c r="AH124" s="3">
        <v>0.0</v>
      </c>
      <c r="AI124" s="3">
        <v>2.0</v>
      </c>
      <c r="AJ124" s="3">
        <v>0.0</v>
      </c>
      <c r="AK124" s="3">
        <v>0.0</v>
      </c>
      <c r="AL124" s="3">
        <v>2.0</v>
      </c>
    </row>
    <row r="125">
      <c r="A125" s="1" t="s">
        <v>38</v>
      </c>
      <c r="B125" s="3">
        <v>40249.0</v>
      </c>
      <c r="C125" s="6">
        <v>46026.0</v>
      </c>
      <c r="D125" s="3" t="s">
        <v>40</v>
      </c>
      <c r="E125" s="1" t="s">
        <v>41</v>
      </c>
      <c r="F125" s="3">
        <v>88818.0</v>
      </c>
      <c r="G125" s="1" t="s">
        <v>532</v>
      </c>
      <c r="H125" s="4">
        <v>46077.037824074076</v>
      </c>
      <c r="I125" s="1" t="s">
        <v>43</v>
      </c>
      <c r="J125" s="1" t="s">
        <v>97</v>
      </c>
      <c r="K125" s="1" t="s">
        <v>63</v>
      </c>
      <c r="L125" s="1" t="s">
        <v>46</v>
      </c>
      <c r="M125" s="1" t="s">
        <v>64</v>
      </c>
      <c r="N125" s="1" t="s">
        <v>125</v>
      </c>
      <c r="O125" s="1" t="s">
        <v>533</v>
      </c>
      <c r="P125" s="3" t="s">
        <v>67</v>
      </c>
      <c r="Q125" s="3" t="s">
        <v>68</v>
      </c>
      <c r="R125" s="3">
        <v>1785.0</v>
      </c>
      <c r="S125" s="1" t="s">
        <v>200</v>
      </c>
      <c r="T125" s="1" t="s">
        <v>53</v>
      </c>
      <c r="U125" s="1" t="s">
        <v>81</v>
      </c>
      <c r="V125" s="1" t="s">
        <v>71</v>
      </c>
      <c r="W125" s="1" t="s">
        <v>56</v>
      </c>
      <c r="X125" s="1" t="s">
        <v>72</v>
      </c>
      <c r="Y125" s="1" t="s">
        <v>58</v>
      </c>
      <c r="Z125" s="1" t="s">
        <v>59</v>
      </c>
      <c r="AA125" s="3">
        <v>6.0</v>
      </c>
      <c r="AB125" s="1" t="s">
        <v>60</v>
      </c>
      <c r="AC125" s="3">
        <v>17.0</v>
      </c>
      <c r="AD125" s="3">
        <v>17.0</v>
      </c>
      <c r="AE125" s="5">
        <v>0.8529</v>
      </c>
      <c r="AF125" s="3">
        <v>58.0</v>
      </c>
      <c r="AG125" s="3">
        <v>4.0</v>
      </c>
      <c r="AH125" s="3">
        <v>0.0</v>
      </c>
      <c r="AI125" s="3">
        <v>4.0</v>
      </c>
      <c r="AJ125" s="3">
        <v>0.0</v>
      </c>
      <c r="AK125" s="3">
        <v>0.0</v>
      </c>
      <c r="AL125" s="3">
        <v>4.0</v>
      </c>
    </row>
    <row r="126">
      <c r="A126" s="1" t="s">
        <v>38</v>
      </c>
      <c r="B126" s="3">
        <v>40234.0</v>
      </c>
      <c r="C126" s="6">
        <v>46026.0</v>
      </c>
      <c r="D126" s="3" t="s">
        <v>40</v>
      </c>
      <c r="E126" s="1" t="s">
        <v>41</v>
      </c>
      <c r="F126" s="3">
        <v>88647.0</v>
      </c>
      <c r="G126" s="1" t="s">
        <v>534</v>
      </c>
      <c r="H126" s="4">
        <v>46067.80412037037</v>
      </c>
      <c r="I126" s="1" t="s">
        <v>433</v>
      </c>
      <c r="J126" s="1" t="s">
        <v>151</v>
      </c>
      <c r="K126" s="1" t="s">
        <v>152</v>
      </c>
      <c r="L126" s="1" t="s">
        <v>46</v>
      </c>
      <c r="M126" s="1" t="s">
        <v>64</v>
      </c>
      <c r="N126" s="1" t="s">
        <v>98</v>
      </c>
      <c r="O126" s="1" t="s">
        <v>535</v>
      </c>
      <c r="P126" s="3" t="s">
        <v>178</v>
      </c>
      <c r="Q126" s="3" t="s">
        <v>51</v>
      </c>
      <c r="R126" s="3">
        <v>1774.0</v>
      </c>
      <c r="S126" s="1" t="s">
        <v>108</v>
      </c>
      <c r="T126" s="1" t="s">
        <v>53</v>
      </c>
      <c r="U126" s="1" t="s">
        <v>81</v>
      </c>
      <c r="V126" s="1" t="s">
        <v>71</v>
      </c>
      <c r="W126" s="1" t="s">
        <v>56</v>
      </c>
      <c r="X126" s="1" t="s">
        <v>72</v>
      </c>
      <c r="Y126" s="1" t="s">
        <v>58</v>
      </c>
      <c r="Z126" s="1" t="s">
        <v>59</v>
      </c>
      <c r="AA126" s="3">
        <v>6.0</v>
      </c>
      <c r="AB126" s="1" t="s">
        <v>82</v>
      </c>
      <c r="AC126" s="3">
        <v>12.0</v>
      </c>
      <c r="AD126" s="3">
        <v>12.0</v>
      </c>
      <c r="AE126" s="5">
        <v>1.0</v>
      </c>
      <c r="AF126" s="3">
        <v>72.0</v>
      </c>
      <c r="AG126" s="3">
        <v>6.0</v>
      </c>
      <c r="AH126" s="3">
        <v>0.0</v>
      </c>
      <c r="AI126" s="3">
        <v>6.0</v>
      </c>
      <c r="AJ126" s="3">
        <v>0.0</v>
      </c>
      <c r="AK126" s="3">
        <v>0.0</v>
      </c>
      <c r="AL126" s="3">
        <v>6.0</v>
      </c>
    </row>
    <row r="127">
      <c r="A127" s="1" t="s">
        <v>38</v>
      </c>
      <c r="B127" s="3">
        <v>40385.0</v>
      </c>
      <c r="C127" s="3" t="s">
        <v>145</v>
      </c>
      <c r="D127" s="3" t="s">
        <v>146</v>
      </c>
      <c r="E127" s="1" t="s">
        <v>41</v>
      </c>
      <c r="F127" s="3">
        <v>61941.0</v>
      </c>
      <c r="G127" s="1" t="s">
        <v>536</v>
      </c>
      <c r="H127" s="4">
        <v>44934.32813657408</v>
      </c>
      <c r="I127" s="1" t="s">
        <v>43</v>
      </c>
      <c r="J127" s="1" t="s">
        <v>151</v>
      </c>
      <c r="K127" s="1" t="s">
        <v>152</v>
      </c>
      <c r="L127" s="1" t="s">
        <v>46</v>
      </c>
      <c r="M127" s="1" t="s">
        <v>47</v>
      </c>
      <c r="N127" s="1" t="s">
        <v>348</v>
      </c>
      <c r="O127" s="1" t="s">
        <v>537</v>
      </c>
      <c r="P127" s="3" t="s">
        <v>50</v>
      </c>
      <c r="Q127" s="3" t="s">
        <v>51</v>
      </c>
      <c r="R127" s="3">
        <v>1689.0</v>
      </c>
      <c r="S127" s="1" t="s">
        <v>459</v>
      </c>
      <c r="T127" s="1" t="s">
        <v>148</v>
      </c>
      <c r="U127" s="1" t="s">
        <v>149</v>
      </c>
      <c r="V127" s="1" t="s">
        <v>55</v>
      </c>
      <c r="W127" s="1" t="s">
        <v>56</v>
      </c>
      <c r="X127" s="1" t="s">
        <v>57</v>
      </c>
      <c r="Y127" s="1" t="s">
        <v>58</v>
      </c>
      <c r="Z127" s="1" t="s">
        <v>59</v>
      </c>
      <c r="AA127" s="3">
        <v>6.0</v>
      </c>
      <c r="AB127" s="1" t="s">
        <v>60</v>
      </c>
      <c r="AC127" s="3">
        <v>27.0</v>
      </c>
      <c r="AD127" s="3">
        <v>27.0</v>
      </c>
      <c r="AE127" s="5">
        <v>0.8642</v>
      </c>
      <c r="AF127" s="3">
        <v>70.0</v>
      </c>
      <c r="AG127" s="3">
        <v>3.0</v>
      </c>
      <c r="AH127" s="3">
        <v>0.0</v>
      </c>
      <c r="AI127" s="3">
        <v>3.0</v>
      </c>
      <c r="AJ127" s="3">
        <v>0.0</v>
      </c>
      <c r="AK127" s="3">
        <v>0.0</v>
      </c>
      <c r="AL127" s="3">
        <v>3.0</v>
      </c>
    </row>
    <row r="128">
      <c r="A128" s="1" t="s">
        <v>38</v>
      </c>
      <c r="B128" s="3">
        <v>40429.0</v>
      </c>
      <c r="C128" s="3" t="s">
        <v>145</v>
      </c>
      <c r="D128" s="3" t="s">
        <v>146</v>
      </c>
      <c r="E128" s="1" t="s">
        <v>41</v>
      </c>
      <c r="F128" s="3">
        <v>61941.0</v>
      </c>
      <c r="G128" s="1" t="s">
        <v>536</v>
      </c>
      <c r="H128" s="4">
        <v>44934.32813657408</v>
      </c>
      <c r="I128" s="1" t="s">
        <v>43</v>
      </c>
      <c r="J128" s="1" t="s">
        <v>151</v>
      </c>
      <c r="K128" s="1" t="s">
        <v>152</v>
      </c>
      <c r="L128" s="1" t="s">
        <v>46</v>
      </c>
      <c r="M128" s="1" t="s">
        <v>47</v>
      </c>
      <c r="N128" s="1" t="s">
        <v>348</v>
      </c>
      <c r="O128" s="1" t="s">
        <v>537</v>
      </c>
      <c r="P128" s="3" t="s">
        <v>50</v>
      </c>
      <c r="Q128" s="3" t="s">
        <v>51</v>
      </c>
      <c r="R128" s="3">
        <v>1690.0</v>
      </c>
      <c r="S128" s="1" t="s">
        <v>460</v>
      </c>
      <c r="T128" s="1" t="s">
        <v>148</v>
      </c>
      <c r="U128" s="1" t="s">
        <v>149</v>
      </c>
      <c r="V128" s="1" t="s">
        <v>55</v>
      </c>
      <c r="W128" s="1" t="s">
        <v>56</v>
      </c>
      <c r="X128" s="1" t="s">
        <v>57</v>
      </c>
      <c r="Y128" s="1" t="s">
        <v>58</v>
      </c>
      <c r="Z128" s="1" t="s">
        <v>59</v>
      </c>
      <c r="AA128" s="3">
        <v>6.0</v>
      </c>
      <c r="AB128" s="1" t="s">
        <v>60</v>
      </c>
      <c r="AC128" s="3">
        <v>39.0</v>
      </c>
      <c r="AD128" s="3">
        <v>39.0</v>
      </c>
      <c r="AE128" s="5">
        <v>0.8803</v>
      </c>
      <c r="AF128" s="3">
        <v>103.0</v>
      </c>
      <c r="AG128" s="3">
        <v>3.0</v>
      </c>
      <c r="AH128" s="3">
        <v>0.0</v>
      </c>
      <c r="AI128" s="3">
        <v>3.0</v>
      </c>
      <c r="AJ128" s="3">
        <v>0.0</v>
      </c>
      <c r="AK128" s="3">
        <v>0.0</v>
      </c>
      <c r="AL128" s="3">
        <v>3.0</v>
      </c>
    </row>
    <row r="129">
      <c r="A129" s="1" t="s">
        <v>38</v>
      </c>
      <c r="B129" s="3">
        <v>40256.0</v>
      </c>
      <c r="C129" s="6">
        <v>46026.0</v>
      </c>
      <c r="D129" s="3" t="s">
        <v>40</v>
      </c>
      <c r="E129" s="1" t="s">
        <v>41</v>
      </c>
      <c r="F129" s="3">
        <v>87331.0</v>
      </c>
      <c r="G129" s="1" t="s">
        <v>538</v>
      </c>
      <c r="H129" s="4">
        <v>45997.70712962963</v>
      </c>
      <c r="I129" s="1" t="s">
        <v>43</v>
      </c>
      <c r="J129" s="1" t="s">
        <v>539</v>
      </c>
      <c r="K129" s="1" t="s">
        <v>203</v>
      </c>
      <c r="L129" s="1" t="s">
        <v>46</v>
      </c>
      <c r="M129" s="1" t="s">
        <v>64</v>
      </c>
      <c r="N129" s="1" t="s">
        <v>65</v>
      </c>
      <c r="O129" s="1" t="s">
        <v>540</v>
      </c>
      <c r="P129" s="3" t="s">
        <v>67</v>
      </c>
      <c r="Q129" s="3" t="s">
        <v>68</v>
      </c>
      <c r="R129" s="3">
        <v>1784.0</v>
      </c>
      <c r="S129" s="1" t="s">
        <v>328</v>
      </c>
      <c r="T129" s="1" t="s">
        <v>53</v>
      </c>
      <c r="U129" s="1" t="s">
        <v>81</v>
      </c>
      <c r="V129" s="1" t="s">
        <v>71</v>
      </c>
      <c r="W129" s="1" t="s">
        <v>56</v>
      </c>
      <c r="X129" s="1" t="s">
        <v>72</v>
      </c>
      <c r="Y129" s="1" t="s">
        <v>58</v>
      </c>
      <c r="Z129" s="1" t="s">
        <v>59</v>
      </c>
      <c r="AA129" s="3">
        <v>7.0</v>
      </c>
      <c r="AB129" s="1" t="s">
        <v>60</v>
      </c>
      <c r="AC129" s="3">
        <v>17.0</v>
      </c>
      <c r="AD129" s="3">
        <v>17.0</v>
      </c>
      <c r="AE129" s="5">
        <v>1.0</v>
      </c>
      <c r="AF129" s="3">
        <v>68.0</v>
      </c>
      <c r="AG129" s="3">
        <v>4.0</v>
      </c>
      <c r="AH129" s="3">
        <v>0.0</v>
      </c>
      <c r="AI129" s="3">
        <v>4.0</v>
      </c>
      <c r="AJ129" s="3">
        <v>0.0</v>
      </c>
      <c r="AK129" s="3">
        <v>0.0</v>
      </c>
      <c r="AL129" s="3">
        <v>4.0</v>
      </c>
    </row>
    <row r="130">
      <c r="A130" s="1" t="s">
        <v>38</v>
      </c>
      <c r="B130" s="3">
        <v>40338.0</v>
      </c>
      <c r="C130" s="6">
        <v>46026.0</v>
      </c>
      <c r="D130" s="3" t="s">
        <v>40</v>
      </c>
      <c r="E130" s="1" t="s">
        <v>41</v>
      </c>
      <c r="F130" s="3">
        <v>89726.0</v>
      </c>
      <c r="G130" s="1" t="s">
        <v>541</v>
      </c>
      <c r="H130" s="4">
        <v>46134.526550925926</v>
      </c>
      <c r="I130" s="1" t="s">
        <v>133</v>
      </c>
      <c r="J130" s="1" t="s">
        <v>97</v>
      </c>
      <c r="K130" s="1" t="s">
        <v>63</v>
      </c>
      <c r="L130" s="1" t="s">
        <v>46</v>
      </c>
      <c r="M130" s="1" t="s">
        <v>47</v>
      </c>
      <c r="N130" s="1" t="s">
        <v>542</v>
      </c>
      <c r="O130" s="1" t="s">
        <v>543</v>
      </c>
      <c r="P130" s="3" t="s">
        <v>88</v>
      </c>
      <c r="Q130" s="3" t="s">
        <v>88</v>
      </c>
      <c r="R130" s="3">
        <v>1786.0</v>
      </c>
      <c r="S130" s="1" t="s">
        <v>365</v>
      </c>
      <c r="T130" s="1" t="s">
        <v>53</v>
      </c>
      <c r="U130" s="1" t="s">
        <v>81</v>
      </c>
      <c r="V130" s="1" t="s">
        <v>71</v>
      </c>
      <c r="W130" s="1" t="s">
        <v>56</v>
      </c>
      <c r="X130" s="1" t="s">
        <v>72</v>
      </c>
      <c r="Y130" s="1" t="s">
        <v>58</v>
      </c>
      <c r="Z130" s="1" t="s">
        <v>59</v>
      </c>
      <c r="AA130" s="3">
        <v>6.0</v>
      </c>
      <c r="AB130" s="1" t="s">
        <v>82</v>
      </c>
      <c r="AC130" s="3">
        <v>21.0</v>
      </c>
      <c r="AD130" s="3">
        <v>21.0</v>
      </c>
      <c r="AE130" s="5">
        <v>0.9048</v>
      </c>
      <c r="AF130" s="3">
        <v>19.0</v>
      </c>
      <c r="AG130" s="3">
        <v>1.0</v>
      </c>
      <c r="AH130" s="3">
        <v>0.0</v>
      </c>
      <c r="AI130" s="3">
        <v>1.0</v>
      </c>
      <c r="AJ130" s="3">
        <v>0.0</v>
      </c>
      <c r="AK130" s="3">
        <v>0.0</v>
      </c>
      <c r="AL130" s="3">
        <v>1.0</v>
      </c>
    </row>
    <row r="131">
      <c r="A131" s="1" t="s">
        <v>38</v>
      </c>
      <c r="B131" s="3">
        <v>40379.0</v>
      </c>
      <c r="C131" s="3" t="s">
        <v>39</v>
      </c>
      <c r="D131" s="3" t="s">
        <v>40</v>
      </c>
      <c r="E131" s="1" t="s">
        <v>41</v>
      </c>
      <c r="F131" s="3">
        <v>81255.0</v>
      </c>
      <c r="G131" s="1" t="s">
        <v>544</v>
      </c>
      <c r="H131" s="4">
        <v>45783.798472222225</v>
      </c>
      <c r="I131" s="1" t="s">
        <v>43</v>
      </c>
      <c r="J131" s="1" t="s">
        <v>275</v>
      </c>
      <c r="K131" s="1" t="s">
        <v>241</v>
      </c>
      <c r="L131" s="1" t="s">
        <v>46</v>
      </c>
      <c r="M131" s="1" t="s">
        <v>47</v>
      </c>
      <c r="N131" s="1" t="s">
        <v>545</v>
      </c>
      <c r="O131" s="1" t="s">
        <v>546</v>
      </c>
      <c r="P131" s="3" t="s">
        <v>547</v>
      </c>
      <c r="Q131" s="3" t="s">
        <v>128</v>
      </c>
      <c r="R131" s="3">
        <v>1943.0</v>
      </c>
      <c r="S131" s="1" t="s">
        <v>548</v>
      </c>
      <c r="T131" s="1" t="s">
        <v>53</v>
      </c>
      <c r="U131" s="1" t="s">
        <v>115</v>
      </c>
      <c r="V131" s="1" t="s">
        <v>55</v>
      </c>
      <c r="W131" s="1" t="s">
        <v>56</v>
      </c>
      <c r="X131" s="1" t="s">
        <v>57</v>
      </c>
      <c r="Y131" s="1" t="s">
        <v>58</v>
      </c>
      <c r="Z131" s="1" t="s">
        <v>59</v>
      </c>
      <c r="AA131" s="3">
        <v>8.0</v>
      </c>
      <c r="AB131" s="1" t="s">
        <v>60</v>
      </c>
      <c r="AC131" s="3">
        <v>34.0</v>
      </c>
      <c r="AD131" s="3">
        <v>34.0</v>
      </c>
      <c r="AE131" s="5">
        <v>0.6618</v>
      </c>
      <c r="AF131" s="3">
        <v>90.0</v>
      </c>
      <c r="AG131" s="3">
        <v>4.0</v>
      </c>
      <c r="AH131" s="3">
        <v>0.0</v>
      </c>
      <c r="AI131" s="3">
        <v>3.0</v>
      </c>
      <c r="AJ131" s="3">
        <v>1.0</v>
      </c>
      <c r="AK131" s="3">
        <v>0.0</v>
      </c>
      <c r="AL131" s="3">
        <v>4.0</v>
      </c>
    </row>
    <row r="132">
      <c r="A132" s="1" t="s">
        <v>38</v>
      </c>
      <c r="B132" s="3">
        <v>40229.0</v>
      </c>
      <c r="C132" s="6">
        <v>46299.0</v>
      </c>
      <c r="D132" s="3" t="s">
        <v>83</v>
      </c>
      <c r="E132" s="1" t="s">
        <v>41</v>
      </c>
      <c r="F132" s="3">
        <v>79567.0</v>
      </c>
      <c r="G132" s="1" t="s">
        <v>549</v>
      </c>
      <c r="H132" s="4">
        <v>45666.06178240741</v>
      </c>
      <c r="I132" s="1" t="s">
        <v>43</v>
      </c>
      <c r="J132" s="1" t="s">
        <v>550</v>
      </c>
      <c r="K132" s="1" t="s">
        <v>498</v>
      </c>
      <c r="L132" s="1" t="s">
        <v>46</v>
      </c>
      <c r="M132" s="1" t="s">
        <v>105</v>
      </c>
      <c r="N132" s="1" t="s">
        <v>125</v>
      </c>
      <c r="O132" s="1" t="s">
        <v>551</v>
      </c>
      <c r="P132" s="3" t="s">
        <v>394</v>
      </c>
      <c r="Q132" s="3" t="s">
        <v>68</v>
      </c>
      <c r="R132" s="3">
        <v>1758.0</v>
      </c>
      <c r="S132" s="1" t="s">
        <v>185</v>
      </c>
      <c r="T132" s="1" t="s">
        <v>186</v>
      </c>
      <c r="U132" s="1" t="s">
        <v>187</v>
      </c>
      <c r="V132" s="1" t="s">
        <v>92</v>
      </c>
      <c r="W132" s="1" t="s">
        <v>93</v>
      </c>
      <c r="X132" s="1" t="s">
        <v>57</v>
      </c>
      <c r="Y132" s="1" t="s">
        <v>58</v>
      </c>
      <c r="Z132" s="1" t="s">
        <v>59</v>
      </c>
      <c r="AA132" s="3">
        <v>8.0</v>
      </c>
      <c r="AB132" s="1" t="s">
        <v>94</v>
      </c>
      <c r="AC132" s="3">
        <v>11.0</v>
      </c>
      <c r="AD132" s="3">
        <v>11.0</v>
      </c>
      <c r="AE132" s="5">
        <v>1.0</v>
      </c>
      <c r="AF132" s="3">
        <v>22.0</v>
      </c>
      <c r="AG132" s="3">
        <v>2.0</v>
      </c>
      <c r="AH132" s="3">
        <v>0.0</v>
      </c>
      <c r="AI132" s="3">
        <v>2.0</v>
      </c>
      <c r="AJ132" s="3">
        <v>0.0</v>
      </c>
      <c r="AK132" s="3">
        <v>0.0</v>
      </c>
      <c r="AL132" s="3">
        <v>2.0</v>
      </c>
    </row>
    <row r="133">
      <c r="A133" s="1" t="s">
        <v>38</v>
      </c>
      <c r="B133" s="3">
        <v>40376.0</v>
      </c>
      <c r="C133" s="3" t="s">
        <v>39</v>
      </c>
      <c r="D133" s="3" t="s">
        <v>40</v>
      </c>
      <c r="E133" s="1" t="s">
        <v>41</v>
      </c>
      <c r="F133" s="3">
        <v>82527.0</v>
      </c>
      <c r="G133" s="1" t="s">
        <v>552</v>
      </c>
      <c r="H133" s="4">
        <v>45837.8978587963</v>
      </c>
      <c r="I133" s="1" t="s">
        <v>43</v>
      </c>
      <c r="J133" s="1" t="s">
        <v>553</v>
      </c>
      <c r="K133" s="1" t="s">
        <v>53</v>
      </c>
      <c r="L133" s="1" t="s">
        <v>46</v>
      </c>
      <c r="M133" s="1" t="s">
        <v>64</v>
      </c>
      <c r="N133" s="1" t="s">
        <v>554</v>
      </c>
      <c r="O133" s="1" t="s">
        <v>555</v>
      </c>
      <c r="P133" s="3" t="s">
        <v>145</v>
      </c>
      <c r="Q133" s="3" t="s">
        <v>88</v>
      </c>
      <c r="R133" s="3">
        <v>1946.0</v>
      </c>
      <c r="S133" s="1" t="s">
        <v>114</v>
      </c>
      <c r="T133" s="1" t="s">
        <v>53</v>
      </c>
      <c r="U133" s="1" t="s">
        <v>115</v>
      </c>
      <c r="V133" s="1" t="s">
        <v>55</v>
      </c>
      <c r="W133" s="1" t="s">
        <v>56</v>
      </c>
      <c r="X133" s="1" t="s">
        <v>57</v>
      </c>
      <c r="Y133" s="1" t="s">
        <v>58</v>
      </c>
      <c r="Z133" s="1" t="s">
        <v>59</v>
      </c>
      <c r="AA133" s="3">
        <v>7.0</v>
      </c>
      <c r="AB133" s="1" t="s">
        <v>60</v>
      </c>
      <c r="AC133" s="3">
        <v>32.0</v>
      </c>
      <c r="AD133" s="3">
        <v>32.0</v>
      </c>
      <c r="AE133" s="5">
        <v>0.8882</v>
      </c>
      <c r="AF133" s="3">
        <v>135.0</v>
      </c>
      <c r="AG133" s="3">
        <v>5.0</v>
      </c>
      <c r="AH133" s="3">
        <v>0.0</v>
      </c>
      <c r="AI133" s="3">
        <v>5.0</v>
      </c>
      <c r="AJ133" s="3">
        <v>0.0</v>
      </c>
      <c r="AK133" s="3">
        <v>0.0</v>
      </c>
      <c r="AL133" s="3">
        <v>5.0</v>
      </c>
    </row>
    <row r="134">
      <c r="A134" s="1" t="s">
        <v>38</v>
      </c>
      <c r="B134" s="3">
        <v>40397.0</v>
      </c>
      <c r="C134" s="3" t="s">
        <v>145</v>
      </c>
      <c r="D134" s="3" t="s">
        <v>146</v>
      </c>
      <c r="E134" s="1" t="s">
        <v>41</v>
      </c>
      <c r="F134" s="3">
        <v>34531.0</v>
      </c>
      <c r="G134" s="1" t="s">
        <v>556</v>
      </c>
      <c r="H134" s="4">
        <v>43934.364849537036</v>
      </c>
      <c r="I134" s="1" t="s">
        <v>43</v>
      </c>
      <c r="J134" s="1" t="s">
        <v>367</v>
      </c>
      <c r="K134" s="1" t="s">
        <v>53</v>
      </c>
      <c r="L134" s="1" t="s">
        <v>46</v>
      </c>
      <c r="M134" s="1" t="s">
        <v>236</v>
      </c>
      <c r="N134" s="1" t="s">
        <v>191</v>
      </c>
      <c r="O134" s="1" t="s">
        <v>557</v>
      </c>
      <c r="P134" s="3" t="s">
        <v>113</v>
      </c>
      <c r="Q134" s="3" t="s">
        <v>51</v>
      </c>
      <c r="R134" s="3">
        <v>1320.0</v>
      </c>
      <c r="S134" s="1" t="s">
        <v>558</v>
      </c>
      <c r="T134" s="1" t="s">
        <v>148</v>
      </c>
      <c r="U134" s="1" t="s">
        <v>149</v>
      </c>
      <c r="V134" s="1" t="s">
        <v>55</v>
      </c>
      <c r="W134" s="1" t="s">
        <v>56</v>
      </c>
      <c r="X134" s="1" t="s">
        <v>57</v>
      </c>
      <c r="Y134" s="1" t="s">
        <v>58</v>
      </c>
      <c r="Z134" s="1" t="s">
        <v>59</v>
      </c>
      <c r="AA134" s="3">
        <v>7.0</v>
      </c>
      <c r="AB134" s="1" t="s">
        <v>60</v>
      </c>
      <c r="AC134" s="3">
        <v>44.0</v>
      </c>
      <c r="AD134" s="3">
        <v>44.0</v>
      </c>
      <c r="AE134" s="5">
        <v>0.8318</v>
      </c>
      <c r="AF134" s="3">
        <v>183.0</v>
      </c>
      <c r="AG134" s="3">
        <v>5.0</v>
      </c>
      <c r="AH134" s="3">
        <v>0.0</v>
      </c>
      <c r="AI134" s="3">
        <v>5.0</v>
      </c>
      <c r="AJ134" s="3">
        <v>0.0</v>
      </c>
      <c r="AK134" s="3">
        <v>0.0</v>
      </c>
      <c r="AL134" s="3">
        <v>5.0</v>
      </c>
    </row>
    <row r="135">
      <c r="A135" s="1" t="s">
        <v>38</v>
      </c>
      <c r="B135" s="3">
        <v>40265.0</v>
      </c>
      <c r="C135" s="6">
        <v>46026.0</v>
      </c>
      <c r="D135" s="3" t="s">
        <v>40</v>
      </c>
      <c r="E135" s="1" t="s">
        <v>41</v>
      </c>
      <c r="F135" s="3">
        <v>88815.0</v>
      </c>
      <c r="G135" s="1" t="s">
        <v>559</v>
      </c>
      <c r="H135" s="4">
        <v>46076.98305555555</v>
      </c>
      <c r="I135" s="1" t="s">
        <v>43</v>
      </c>
      <c r="J135" s="1" t="s">
        <v>560</v>
      </c>
      <c r="K135" s="1" t="s">
        <v>561</v>
      </c>
      <c r="L135" s="1" t="s">
        <v>46</v>
      </c>
      <c r="M135" s="1" t="s">
        <v>175</v>
      </c>
      <c r="N135" s="1" t="s">
        <v>562</v>
      </c>
      <c r="O135" s="1" t="s">
        <v>563</v>
      </c>
      <c r="P135" s="3" t="s">
        <v>67</v>
      </c>
      <c r="Q135" s="3" t="s">
        <v>68</v>
      </c>
      <c r="R135" s="3">
        <v>1790.0</v>
      </c>
      <c r="S135" s="1" t="s">
        <v>206</v>
      </c>
      <c r="T135" s="1" t="s">
        <v>53</v>
      </c>
      <c r="U135" s="1" t="s">
        <v>70</v>
      </c>
      <c r="V135" s="1" t="s">
        <v>71</v>
      </c>
      <c r="W135" s="1" t="s">
        <v>56</v>
      </c>
      <c r="X135" s="1" t="s">
        <v>72</v>
      </c>
      <c r="Y135" s="1" t="s">
        <v>58</v>
      </c>
      <c r="Z135" s="1" t="s">
        <v>59</v>
      </c>
      <c r="AA135" s="3">
        <v>6.0</v>
      </c>
      <c r="AB135" s="1" t="s">
        <v>60</v>
      </c>
      <c r="AC135" s="3">
        <v>42.0</v>
      </c>
      <c r="AD135" s="3">
        <v>42.0</v>
      </c>
      <c r="AE135" s="5">
        <v>0.9226</v>
      </c>
      <c r="AF135" s="3">
        <v>155.0</v>
      </c>
      <c r="AG135" s="3">
        <v>4.0</v>
      </c>
      <c r="AH135" s="3">
        <v>0.0</v>
      </c>
      <c r="AI135" s="3">
        <v>4.0</v>
      </c>
      <c r="AJ135" s="3">
        <v>0.0</v>
      </c>
      <c r="AK135" s="3">
        <v>0.0</v>
      </c>
      <c r="AL135" s="3">
        <v>4.0</v>
      </c>
    </row>
    <row r="136">
      <c r="A136" s="1" t="s">
        <v>38</v>
      </c>
      <c r="B136" s="3">
        <v>40392.0</v>
      </c>
      <c r="C136" s="3" t="s">
        <v>145</v>
      </c>
      <c r="D136" s="3" t="s">
        <v>146</v>
      </c>
      <c r="E136" s="1" t="s">
        <v>41</v>
      </c>
      <c r="F136" s="3">
        <v>61047.0</v>
      </c>
      <c r="G136" s="1" t="s">
        <v>564</v>
      </c>
      <c r="H136" s="4">
        <v>44880.062210648146</v>
      </c>
      <c r="I136" s="1" t="s">
        <v>43</v>
      </c>
      <c r="J136" s="1" t="s">
        <v>367</v>
      </c>
      <c r="K136" s="1" t="s">
        <v>53</v>
      </c>
      <c r="L136" s="1" t="s">
        <v>46</v>
      </c>
      <c r="M136" s="1" t="s">
        <v>141</v>
      </c>
      <c r="N136" s="1" t="s">
        <v>565</v>
      </c>
      <c r="O136" s="1" t="s">
        <v>566</v>
      </c>
      <c r="P136" s="3" t="s">
        <v>145</v>
      </c>
      <c r="Q136" s="3" t="s">
        <v>88</v>
      </c>
      <c r="R136" s="3">
        <v>69.0</v>
      </c>
      <c r="S136" s="1" t="s">
        <v>252</v>
      </c>
      <c r="T136" s="1" t="s">
        <v>148</v>
      </c>
      <c r="U136" s="1" t="s">
        <v>149</v>
      </c>
      <c r="V136" s="1" t="s">
        <v>55</v>
      </c>
      <c r="W136" s="1" t="s">
        <v>56</v>
      </c>
      <c r="X136" s="1" t="s">
        <v>57</v>
      </c>
      <c r="Y136" s="1" t="s">
        <v>58</v>
      </c>
      <c r="Z136" s="1" t="s">
        <v>59</v>
      </c>
      <c r="AA136" s="3">
        <v>7.0</v>
      </c>
      <c r="AB136" s="1" t="s">
        <v>60</v>
      </c>
      <c r="AC136" s="3">
        <v>24.0</v>
      </c>
      <c r="AD136" s="3">
        <v>24.0</v>
      </c>
      <c r="AE136" s="5">
        <v>0.8333</v>
      </c>
      <c r="AF136" s="3">
        <v>100.0</v>
      </c>
      <c r="AG136" s="3">
        <v>5.0</v>
      </c>
      <c r="AH136" s="3">
        <v>0.0</v>
      </c>
      <c r="AI136" s="3">
        <v>5.0</v>
      </c>
      <c r="AJ136" s="3">
        <v>0.0</v>
      </c>
      <c r="AK136" s="3">
        <v>0.0</v>
      </c>
      <c r="AL136" s="3">
        <v>5.0</v>
      </c>
    </row>
    <row r="137">
      <c r="A137" s="1" t="s">
        <v>38</v>
      </c>
      <c r="B137" s="3">
        <v>40394.0</v>
      </c>
      <c r="C137" s="3" t="s">
        <v>145</v>
      </c>
      <c r="D137" s="3" t="s">
        <v>146</v>
      </c>
      <c r="E137" s="1" t="s">
        <v>41</v>
      </c>
      <c r="F137" s="3">
        <v>61047.0</v>
      </c>
      <c r="G137" s="1" t="s">
        <v>564</v>
      </c>
      <c r="H137" s="4">
        <v>44880.062210648146</v>
      </c>
      <c r="I137" s="1" t="s">
        <v>43</v>
      </c>
      <c r="J137" s="1" t="s">
        <v>367</v>
      </c>
      <c r="K137" s="1" t="s">
        <v>53</v>
      </c>
      <c r="L137" s="1" t="s">
        <v>46</v>
      </c>
      <c r="M137" s="1" t="s">
        <v>141</v>
      </c>
      <c r="N137" s="1" t="s">
        <v>565</v>
      </c>
      <c r="O137" s="1" t="s">
        <v>566</v>
      </c>
      <c r="P137" s="3" t="s">
        <v>145</v>
      </c>
      <c r="Q137" s="3" t="s">
        <v>88</v>
      </c>
      <c r="R137" s="3">
        <v>70.0</v>
      </c>
      <c r="S137" s="1" t="s">
        <v>253</v>
      </c>
      <c r="T137" s="1" t="s">
        <v>148</v>
      </c>
      <c r="U137" s="1" t="s">
        <v>149</v>
      </c>
      <c r="V137" s="1" t="s">
        <v>55</v>
      </c>
      <c r="W137" s="1" t="s">
        <v>56</v>
      </c>
      <c r="X137" s="1" t="s">
        <v>57</v>
      </c>
      <c r="Y137" s="1" t="s">
        <v>58</v>
      </c>
      <c r="Z137" s="1" t="s">
        <v>59</v>
      </c>
      <c r="AA137" s="3">
        <v>7.0</v>
      </c>
      <c r="AB137" s="1" t="s">
        <v>60</v>
      </c>
      <c r="AC137" s="3">
        <v>27.0</v>
      </c>
      <c r="AD137" s="3">
        <v>27.0</v>
      </c>
      <c r="AE137" s="5">
        <v>0.837</v>
      </c>
      <c r="AF137" s="3">
        <v>113.0</v>
      </c>
      <c r="AG137" s="3">
        <v>5.0</v>
      </c>
      <c r="AH137" s="3">
        <v>0.0</v>
      </c>
      <c r="AI137" s="3">
        <v>5.0</v>
      </c>
      <c r="AJ137" s="3">
        <v>0.0</v>
      </c>
      <c r="AK137" s="3">
        <v>0.0</v>
      </c>
      <c r="AL137" s="3">
        <v>5.0</v>
      </c>
    </row>
    <row r="138">
      <c r="A138" s="1" t="s">
        <v>38</v>
      </c>
      <c r="B138" s="3">
        <v>40270.0</v>
      </c>
      <c r="C138" s="6">
        <v>46026.0</v>
      </c>
      <c r="D138" s="3" t="s">
        <v>40</v>
      </c>
      <c r="E138" s="1" t="s">
        <v>41</v>
      </c>
      <c r="F138" s="3">
        <v>88858.0</v>
      </c>
      <c r="G138" s="1" t="s">
        <v>567</v>
      </c>
      <c r="H138" s="4">
        <v>46079.543541666666</v>
      </c>
      <c r="I138" s="1" t="s">
        <v>43</v>
      </c>
      <c r="J138" s="1" t="s">
        <v>568</v>
      </c>
      <c r="K138" s="1" t="s">
        <v>53</v>
      </c>
      <c r="L138" s="1" t="s">
        <v>46</v>
      </c>
      <c r="M138" s="1" t="s">
        <v>175</v>
      </c>
      <c r="N138" s="1" t="s">
        <v>569</v>
      </c>
      <c r="O138" s="1" t="s">
        <v>570</v>
      </c>
      <c r="P138" s="3" t="s">
        <v>113</v>
      </c>
      <c r="Q138" s="3" t="s">
        <v>51</v>
      </c>
      <c r="R138" s="3">
        <v>1780.0</v>
      </c>
      <c r="S138" s="1" t="s">
        <v>526</v>
      </c>
      <c r="T138" s="1" t="s">
        <v>53</v>
      </c>
      <c r="U138" s="1" t="s">
        <v>70</v>
      </c>
      <c r="V138" s="1" t="s">
        <v>71</v>
      </c>
      <c r="W138" s="1" t="s">
        <v>56</v>
      </c>
      <c r="X138" s="1" t="s">
        <v>72</v>
      </c>
      <c r="Y138" s="1" t="s">
        <v>58</v>
      </c>
      <c r="Z138" s="1" t="s">
        <v>59</v>
      </c>
      <c r="AA138" s="3">
        <v>8.0</v>
      </c>
      <c r="AB138" s="1" t="s">
        <v>82</v>
      </c>
      <c r="AC138" s="3">
        <v>34.0</v>
      </c>
      <c r="AD138" s="3">
        <v>34.0</v>
      </c>
      <c r="AE138" s="5">
        <v>0.8882</v>
      </c>
      <c r="AF138" s="3">
        <v>151.0</v>
      </c>
      <c r="AG138" s="3">
        <v>5.0</v>
      </c>
      <c r="AH138" s="3">
        <v>0.0</v>
      </c>
      <c r="AI138" s="3">
        <v>5.0</v>
      </c>
      <c r="AJ138" s="3">
        <v>0.0</v>
      </c>
      <c r="AK138" s="3">
        <v>0.0</v>
      </c>
      <c r="AL138" s="3">
        <v>5.0</v>
      </c>
    </row>
    <row r="139">
      <c r="A139" s="1" t="s">
        <v>38</v>
      </c>
      <c r="B139" s="3">
        <v>40398.0</v>
      </c>
      <c r="C139" s="3" t="s">
        <v>145</v>
      </c>
      <c r="D139" s="3" t="s">
        <v>146</v>
      </c>
      <c r="E139" s="1" t="s">
        <v>41</v>
      </c>
      <c r="F139" s="3">
        <v>58158.0</v>
      </c>
      <c r="G139" s="1" t="s">
        <v>571</v>
      </c>
      <c r="H139" s="4">
        <v>44736.18599537037</v>
      </c>
      <c r="I139" s="1" t="s">
        <v>43</v>
      </c>
      <c r="J139" s="1" t="s">
        <v>572</v>
      </c>
      <c r="K139" s="1" t="s">
        <v>104</v>
      </c>
      <c r="L139" s="1" t="s">
        <v>46</v>
      </c>
      <c r="M139" s="1" t="s">
        <v>47</v>
      </c>
      <c r="N139" s="1" t="s">
        <v>573</v>
      </c>
      <c r="O139" s="1" t="s">
        <v>574</v>
      </c>
      <c r="P139" s="3" t="s">
        <v>155</v>
      </c>
      <c r="Q139" s="3" t="s">
        <v>51</v>
      </c>
      <c r="R139" s="3">
        <v>1320.0</v>
      </c>
      <c r="S139" s="1" t="s">
        <v>558</v>
      </c>
      <c r="T139" s="1" t="s">
        <v>148</v>
      </c>
      <c r="U139" s="1" t="s">
        <v>149</v>
      </c>
      <c r="V139" s="1" t="s">
        <v>55</v>
      </c>
      <c r="W139" s="1" t="s">
        <v>56</v>
      </c>
      <c r="X139" s="1" t="s">
        <v>57</v>
      </c>
      <c r="Y139" s="1" t="s">
        <v>58</v>
      </c>
      <c r="Z139" s="1" t="s">
        <v>59</v>
      </c>
      <c r="AA139" s="3">
        <v>8.0</v>
      </c>
      <c r="AB139" s="1" t="s">
        <v>60</v>
      </c>
      <c r="AC139" s="3">
        <v>67.0</v>
      </c>
      <c r="AD139" s="3">
        <v>67.0</v>
      </c>
      <c r="AE139" s="5">
        <v>0.8408</v>
      </c>
      <c r="AF139" s="3">
        <v>169.0</v>
      </c>
      <c r="AG139" s="3">
        <v>4.0</v>
      </c>
      <c r="AH139" s="3">
        <v>0.0</v>
      </c>
      <c r="AI139" s="3">
        <v>3.0</v>
      </c>
      <c r="AJ139" s="3">
        <v>0.0</v>
      </c>
      <c r="AK139" s="3">
        <v>1.0</v>
      </c>
      <c r="AL139" s="3">
        <v>3.0</v>
      </c>
    </row>
    <row r="140">
      <c r="A140" s="1" t="s">
        <v>38</v>
      </c>
      <c r="B140" s="3">
        <v>40370.0</v>
      </c>
      <c r="C140" s="3" t="s">
        <v>39</v>
      </c>
      <c r="D140" s="3" t="s">
        <v>40</v>
      </c>
      <c r="E140" s="1" t="s">
        <v>41</v>
      </c>
      <c r="F140" s="3">
        <v>60341.0</v>
      </c>
      <c r="G140" s="1" t="s">
        <v>575</v>
      </c>
      <c r="H140" s="4">
        <v>44839.50208333333</v>
      </c>
      <c r="I140" s="1" t="s">
        <v>43</v>
      </c>
      <c r="J140" s="1" t="s">
        <v>576</v>
      </c>
      <c r="K140" s="1" t="s">
        <v>576</v>
      </c>
      <c r="L140" s="1" t="s">
        <v>577</v>
      </c>
      <c r="M140" s="1" t="s">
        <v>175</v>
      </c>
      <c r="N140" s="1" t="s">
        <v>578</v>
      </c>
      <c r="O140" s="1" t="s">
        <v>579</v>
      </c>
      <c r="P140" s="3" t="s">
        <v>113</v>
      </c>
      <c r="Q140" s="3" t="s">
        <v>50</v>
      </c>
      <c r="R140" s="3">
        <v>1951.0</v>
      </c>
      <c r="S140" s="1" t="s">
        <v>307</v>
      </c>
      <c r="T140" s="1" t="s">
        <v>53</v>
      </c>
      <c r="U140" s="1" t="s">
        <v>54</v>
      </c>
      <c r="V140" s="1" t="s">
        <v>55</v>
      </c>
      <c r="W140" s="1" t="s">
        <v>56</v>
      </c>
      <c r="X140" s="1" t="s">
        <v>57</v>
      </c>
      <c r="Y140" s="1" t="s">
        <v>58</v>
      </c>
      <c r="Z140" s="1" t="s">
        <v>59</v>
      </c>
      <c r="AA140" s="3">
        <v>7.0</v>
      </c>
      <c r="AB140" s="1" t="s">
        <v>60</v>
      </c>
      <c r="AC140" s="3">
        <v>22.0</v>
      </c>
      <c r="AD140" s="3">
        <v>20.0</v>
      </c>
      <c r="AE140" s="5">
        <v>0.8833</v>
      </c>
      <c r="AF140" s="3">
        <v>53.0</v>
      </c>
      <c r="AG140" s="3">
        <v>3.0</v>
      </c>
      <c r="AH140" s="3">
        <v>0.0</v>
      </c>
      <c r="AI140" s="3">
        <v>1.0</v>
      </c>
      <c r="AJ140" s="3">
        <v>2.0</v>
      </c>
      <c r="AK140" s="3">
        <v>0.0</v>
      </c>
      <c r="AL140" s="3">
        <v>3.0</v>
      </c>
    </row>
    <row r="141">
      <c r="A141" s="1" t="s">
        <v>38</v>
      </c>
      <c r="B141" s="3">
        <v>40245.0</v>
      </c>
      <c r="C141" s="6">
        <v>46026.0</v>
      </c>
      <c r="D141" s="3" t="s">
        <v>40</v>
      </c>
      <c r="E141" s="1" t="s">
        <v>41</v>
      </c>
      <c r="F141" s="3">
        <v>88623.0</v>
      </c>
      <c r="G141" s="1" t="s">
        <v>580</v>
      </c>
      <c r="H141" s="4">
        <v>46066.48982638889</v>
      </c>
      <c r="I141" s="1" t="s">
        <v>433</v>
      </c>
      <c r="J141" s="1" t="s">
        <v>151</v>
      </c>
      <c r="K141" s="1" t="s">
        <v>152</v>
      </c>
      <c r="L141" s="1" t="s">
        <v>46</v>
      </c>
      <c r="M141" s="1" t="s">
        <v>64</v>
      </c>
      <c r="N141" s="1" t="s">
        <v>125</v>
      </c>
      <c r="O141" s="1" t="s">
        <v>581</v>
      </c>
      <c r="P141" s="3" t="s">
        <v>67</v>
      </c>
      <c r="Q141" s="3" t="s">
        <v>68</v>
      </c>
      <c r="R141" s="3">
        <v>1791.0</v>
      </c>
      <c r="S141" s="1" t="s">
        <v>69</v>
      </c>
      <c r="T141" s="1" t="s">
        <v>53</v>
      </c>
      <c r="U141" s="1" t="s">
        <v>70</v>
      </c>
      <c r="V141" s="1" t="s">
        <v>71</v>
      </c>
      <c r="W141" s="1" t="s">
        <v>56</v>
      </c>
      <c r="X141" s="1" t="s">
        <v>72</v>
      </c>
      <c r="Y141" s="1" t="s">
        <v>58</v>
      </c>
      <c r="Z141" s="1" t="s">
        <v>59</v>
      </c>
      <c r="AA141" s="3">
        <v>8.0</v>
      </c>
      <c r="AB141" s="1" t="s">
        <v>60</v>
      </c>
      <c r="AC141" s="3">
        <v>42.0</v>
      </c>
      <c r="AD141" s="3">
        <v>42.0</v>
      </c>
      <c r="AE141" s="5">
        <v>1.0</v>
      </c>
      <c r="AF141" s="3">
        <v>168.0</v>
      </c>
      <c r="AG141" s="3">
        <v>4.0</v>
      </c>
      <c r="AH141" s="3">
        <v>0.0</v>
      </c>
      <c r="AI141" s="3">
        <v>4.0</v>
      </c>
      <c r="AJ141" s="3">
        <v>0.0</v>
      </c>
      <c r="AK141" s="3">
        <v>0.0</v>
      </c>
      <c r="AL141" s="3">
        <v>4.0</v>
      </c>
    </row>
    <row r="142">
      <c r="A142" s="1" t="s">
        <v>38</v>
      </c>
      <c r="B142" s="3">
        <v>40308.0</v>
      </c>
      <c r="C142" s="6">
        <v>46299.0</v>
      </c>
      <c r="D142" s="3" t="s">
        <v>95</v>
      </c>
      <c r="E142" s="1" t="s">
        <v>41</v>
      </c>
      <c r="F142" s="3">
        <v>89572.0</v>
      </c>
      <c r="G142" s="1" t="s">
        <v>582</v>
      </c>
      <c r="H142" s="4">
        <v>46127.47002314815</v>
      </c>
      <c r="I142" s="1" t="s">
        <v>43</v>
      </c>
      <c r="J142" s="1" t="s">
        <v>151</v>
      </c>
      <c r="K142" s="1" t="s">
        <v>152</v>
      </c>
      <c r="L142" s="1" t="s">
        <v>46</v>
      </c>
      <c r="M142" s="1" t="s">
        <v>77</v>
      </c>
      <c r="N142" s="1" t="s">
        <v>125</v>
      </c>
      <c r="O142" s="1" t="s">
        <v>583</v>
      </c>
      <c r="P142" s="3" t="s">
        <v>50</v>
      </c>
      <c r="Q142" s="3" t="s">
        <v>51</v>
      </c>
      <c r="R142" s="3">
        <v>1986.0</v>
      </c>
      <c r="S142" s="1" t="s">
        <v>129</v>
      </c>
      <c r="T142" s="1" t="s">
        <v>53</v>
      </c>
      <c r="U142" s="1" t="s">
        <v>81</v>
      </c>
      <c r="V142" s="1" t="s">
        <v>130</v>
      </c>
      <c r="W142" s="1" t="s">
        <v>56</v>
      </c>
      <c r="X142" s="1" t="s">
        <v>57</v>
      </c>
      <c r="Y142" s="1" t="s">
        <v>58</v>
      </c>
      <c r="Z142" s="1" t="s">
        <v>59</v>
      </c>
      <c r="AA142" s="3">
        <v>7.0</v>
      </c>
      <c r="AB142" s="1" t="s">
        <v>144</v>
      </c>
      <c r="AC142" s="3">
        <v>45.0</v>
      </c>
      <c r="AD142" s="3">
        <v>45.0</v>
      </c>
      <c r="AE142" s="5">
        <v>0.8394</v>
      </c>
      <c r="AF142" s="3">
        <v>115.0</v>
      </c>
      <c r="AG142" s="3">
        <v>3.0</v>
      </c>
      <c r="AH142" s="3">
        <v>0.0</v>
      </c>
      <c r="AI142" s="3">
        <v>3.0</v>
      </c>
      <c r="AJ142" s="3">
        <v>0.0</v>
      </c>
      <c r="AK142" s="3">
        <v>0.0</v>
      </c>
      <c r="AL142" s="3">
        <v>3.0</v>
      </c>
    </row>
    <row r="143">
      <c r="A143" s="1" t="s">
        <v>38</v>
      </c>
      <c r="B143" s="3">
        <v>40239.0</v>
      </c>
      <c r="C143" s="6">
        <v>46026.0</v>
      </c>
      <c r="D143" s="3" t="s">
        <v>40</v>
      </c>
      <c r="E143" s="1" t="s">
        <v>41</v>
      </c>
      <c r="F143" s="3">
        <v>88787.0</v>
      </c>
      <c r="G143" s="1" t="s">
        <v>584</v>
      </c>
      <c r="H143" s="4">
        <v>46075.47232638889</v>
      </c>
      <c r="I143" s="1" t="s">
        <v>43</v>
      </c>
      <c r="J143" s="1" t="s">
        <v>97</v>
      </c>
      <c r="K143" s="1" t="s">
        <v>63</v>
      </c>
      <c r="L143" s="1" t="s">
        <v>46</v>
      </c>
      <c r="M143" s="1" t="s">
        <v>141</v>
      </c>
      <c r="N143" s="1" t="s">
        <v>142</v>
      </c>
      <c r="O143" s="1" t="s">
        <v>585</v>
      </c>
      <c r="P143" s="3" t="s">
        <v>67</v>
      </c>
      <c r="Q143" s="3" t="s">
        <v>68</v>
      </c>
      <c r="R143" s="3">
        <v>1774.0</v>
      </c>
      <c r="S143" s="1" t="s">
        <v>108</v>
      </c>
      <c r="T143" s="1" t="s">
        <v>53</v>
      </c>
      <c r="U143" s="1" t="s">
        <v>81</v>
      </c>
      <c r="V143" s="1" t="s">
        <v>71</v>
      </c>
      <c r="W143" s="1" t="s">
        <v>56</v>
      </c>
      <c r="X143" s="1" t="s">
        <v>72</v>
      </c>
      <c r="Y143" s="1" t="s">
        <v>58</v>
      </c>
      <c r="Z143" s="1" t="s">
        <v>59</v>
      </c>
      <c r="AA143" s="3">
        <v>8.0</v>
      </c>
      <c r="AB143" s="1" t="s">
        <v>60</v>
      </c>
      <c r="AC143" s="3">
        <v>31.0</v>
      </c>
      <c r="AD143" s="3">
        <v>31.0</v>
      </c>
      <c r="AE143" s="5">
        <v>0.9758</v>
      </c>
      <c r="AF143" s="3">
        <v>121.0</v>
      </c>
      <c r="AG143" s="3">
        <v>4.0</v>
      </c>
      <c r="AH143" s="3">
        <v>0.0</v>
      </c>
      <c r="AI143" s="3">
        <v>4.0</v>
      </c>
      <c r="AJ143" s="3">
        <v>0.0</v>
      </c>
      <c r="AK143" s="3">
        <v>0.0</v>
      </c>
      <c r="AL143" s="3">
        <v>4.0</v>
      </c>
    </row>
    <row r="144">
      <c r="A144" s="1" t="s">
        <v>38</v>
      </c>
      <c r="B144" s="3">
        <v>40356.0</v>
      </c>
      <c r="C144" s="3" t="s">
        <v>39</v>
      </c>
      <c r="D144" s="3" t="s">
        <v>40</v>
      </c>
      <c r="E144" s="1" t="s">
        <v>41</v>
      </c>
      <c r="F144" s="3">
        <v>81190.0</v>
      </c>
      <c r="G144" s="1" t="s">
        <v>586</v>
      </c>
      <c r="H144" s="4">
        <v>45779.88148148148</v>
      </c>
      <c r="I144" s="1" t="s">
        <v>43</v>
      </c>
      <c r="J144" s="1" t="s">
        <v>151</v>
      </c>
      <c r="K144" s="1" t="s">
        <v>152</v>
      </c>
      <c r="L144" s="1" t="s">
        <v>46</v>
      </c>
      <c r="M144" s="1" t="s">
        <v>236</v>
      </c>
      <c r="N144" s="1" t="s">
        <v>479</v>
      </c>
      <c r="O144" s="1" t="s">
        <v>587</v>
      </c>
      <c r="P144" s="3" t="s">
        <v>145</v>
      </c>
      <c r="Q144" s="3" t="s">
        <v>88</v>
      </c>
      <c r="R144" s="3">
        <v>1952.0</v>
      </c>
      <c r="S144" s="1" t="s">
        <v>313</v>
      </c>
      <c r="T144" s="1" t="s">
        <v>53</v>
      </c>
      <c r="U144" s="1" t="s">
        <v>54</v>
      </c>
      <c r="V144" s="1" t="s">
        <v>55</v>
      </c>
      <c r="W144" s="1" t="s">
        <v>56</v>
      </c>
      <c r="X144" s="1" t="s">
        <v>57</v>
      </c>
      <c r="Y144" s="1" t="s">
        <v>58</v>
      </c>
      <c r="Z144" s="1" t="s">
        <v>59</v>
      </c>
      <c r="AA144" s="3">
        <v>7.0</v>
      </c>
      <c r="AB144" s="1" t="s">
        <v>60</v>
      </c>
      <c r="AC144" s="3">
        <v>21.0</v>
      </c>
      <c r="AD144" s="3">
        <v>21.0</v>
      </c>
      <c r="AE144" s="5">
        <v>0.7619</v>
      </c>
      <c r="AF144" s="3">
        <v>80.0</v>
      </c>
      <c r="AG144" s="3">
        <v>5.0</v>
      </c>
      <c r="AH144" s="3">
        <v>0.0</v>
      </c>
      <c r="AI144" s="3">
        <v>5.0</v>
      </c>
      <c r="AJ144" s="3">
        <v>0.0</v>
      </c>
      <c r="AK144" s="3">
        <v>0.0</v>
      </c>
      <c r="AL144" s="3">
        <v>5.0</v>
      </c>
    </row>
    <row r="145">
      <c r="A145" s="1" t="s">
        <v>38</v>
      </c>
      <c r="B145" s="3">
        <v>40221.0</v>
      </c>
      <c r="C145" s="6">
        <v>46026.0</v>
      </c>
      <c r="D145" s="3" t="s">
        <v>83</v>
      </c>
      <c r="E145" s="1" t="s">
        <v>41</v>
      </c>
      <c r="F145" s="3">
        <v>83440.0</v>
      </c>
      <c r="G145" s="1" t="s">
        <v>588</v>
      </c>
      <c r="H145" s="4">
        <v>45853.65332175926</v>
      </c>
      <c r="I145" s="1" t="s">
        <v>283</v>
      </c>
      <c r="J145" s="1" t="s">
        <v>151</v>
      </c>
      <c r="K145" s="1" t="s">
        <v>152</v>
      </c>
      <c r="L145" s="1" t="s">
        <v>46</v>
      </c>
      <c r="M145" s="1" t="s">
        <v>47</v>
      </c>
      <c r="N145" s="1" t="s">
        <v>589</v>
      </c>
      <c r="O145" s="1" t="s">
        <v>590</v>
      </c>
      <c r="P145" s="6">
        <v>46085.0</v>
      </c>
      <c r="Q145" s="3" t="s">
        <v>394</v>
      </c>
      <c r="R145" s="3">
        <v>1984.0</v>
      </c>
      <c r="S145" s="1" t="s">
        <v>89</v>
      </c>
      <c r="T145" s="1" t="s">
        <v>90</v>
      </c>
      <c r="U145" s="1" t="s">
        <v>91</v>
      </c>
      <c r="V145" s="1" t="s">
        <v>92</v>
      </c>
      <c r="W145" s="1" t="s">
        <v>93</v>
      </c>
      <c r="X145" s="1" t="s">
        <v>57</v>
      </c>
      <c r="Y145" s="1" t="s">
        <v>58</v>
      </c>
      <c r="Z145" s="1" t="s">
        <v>59</v>
      </c>
      <c r="AA145" s="3">
        <v>8.0</v>
      </c>
      <c r="AB145" s="1" t="s">
        <v>94</v>
      </c>
      <c r="AC145" s="3">
        <v>9.0</v>
      </c>
      <c r="AD145" s="3">
        <v>9.0</v>
      </c>
      <c r="AE145" s="5">
        <v>1.0</v>
      </c>
      <c r="AF145" s="3">
        <v>45.0</v>
      </c>
      <c r="AG145" s="3">
        <v>7.0</v>
      </c>
      <c r="AH145" s="3">
        <v>0.0</v>
      </c>
      <c r="AI145" s="3">
        <v>5.0</v>
      </c>
      <c r="AJ145" s="3">
        <v>0.0</v>
      </c>
      <c r="AK145" s="3">
        <v>2.0</v>
      </c>
      <c r="AL145" s="3">
        <v>5.0</v>
      </c>
    </row>
    <row r="146">
      <c r="A146" s="1" t="s">
        <v>38</v>
      </c>
      <c r="B146" s="3">
        <v>40427.0</v>
      </c>
      <c r="C146" s="3" t="s">
        <v>145</v>
      </c>
      <c r="D146" s="3" t="s">
        <v>146</v>
      </c>
      <c r="E146" s="1" t="s">
        <v>41</v>
      </c>
      <c r="F146" s="3">
        <v>61585.0</v>
      </c>
      <c r="G146" s="1" t="s">
        <v>591</v>
      </c>
      <c r="H146" s="4">
        <v>44913.99359953704</v>
      </c>
      <c r="I146" s="1" t="s">
        <v>43</v>
      </c>
      <c r="J146" s="1" t="s">
        <v>592</v>
      </c>
      <c r="K146" s="1" t="s">
        <v>592</v>
      </c>
      <c r="L146" s="1" t="s">
        <v>46</v>
      </c>
      <c r="M146" s="1" t="s">
        <v>264</v>
      </c>
      <c r="N146" s="1" t="s">
        <v>593</v>
      </c>
      <c r="O146" s="1" t="s">
        <v>594</v>
      </c>
      <c r="P146" s="3" t="s">
        <v>128</v>
      </c>
      <c r="Q146" s="3" t="s">
        <v>88</v>
      </c>
      <c r="R146" s="3">
        <v>94.0</v>
      </c>
      <c r="S146" s="1" t="s">
        <v>239</v>
      </c>
      <c r="T146" s="1" t="s">
        <v>148</v>
      </c>
      <c r="U146" s="1" t="s">
        <v>157</v>
      </c>
      <c r="V146" s="1" t="s">
        <v>55</v>
      </c>
      <c r="W146" s="1" t="s">
        <v>56</v>
      </c>
      <c r="X146" s="1" t="s">
        <v>57</v>
      </c>
      <c r="Y146" s="1" t="s">
        <v>58</v>
      </c>
      <c r="Z146" s="1" t="s">
        <v>59</v>
      </c>
      <c r="AA146" s="3">
        <v>7.0</v>
      </c>
      <c r="AB146" s="1" t="s">
        <v>60</v>
      </c>
      <c r="AC146" s="3">
        <v>34.0</v>
      </c>
      <c r="AD146" s="3">
        <v>34.0</v>
      </c>
      <c r="AE146" s="5">
        <v>0.8824</v>
      </c>
      <c r="AF146" s="3">
        <v>60.0</v>
      </c>
      <c r="AG146" s="3">
        <v>2.0</v>
      </c>
      <c r="AH146" s="3">
        <v>0.0</v>
      </c>
      <c r="AI146" s="3">
        <v>2.0</v>
      </c>
      <c r="AJ146" s="3">
        <v>0.0</v>
      </c>
      <c r="AK146" s="3">
        <v>0.0</v>
      </c>
      <c r="AL146" s="3">
        <v>2.0</v>
      </c>
    </row>
    <row r="147">
      <c r="A147" s="1" t="s">
        <v>38</v>
      </c>
      <c r="B147" s="3">
        <v>40405.0</v>
      </c>
      <c r="C147" s="3" t="s">
        <v>145</v>
      </c>
      <c r="D147" s="3" t="s">
        <v>146</v>
      </c>
      <c r="E147" s="1" t="s">
        <v>41</v>
      </c>
      <c r="F147" s="3">
        <v>75540.0</v>
      </c>
      <c r="G147" s="1" t="s">
        <v>595</v>
      </c>
      <c r="H147" s="4">
        <v>45512.029398148145</v>
      </c>
      <c r="I147" s="1" t="s">
        <v>215</v>
      </c>
      <c r="J147" s="1" t="s">
        <v>151</v>
      </c>
      <c r="K147" s="1" t="s">
        <v>152</v>
      </c>
      <c r="L147" s="1" t="s">
        <v>46</v>
      </c>
      <c r="M147" s="1" t="s">
        <v>47</v>
      </c>
      <c r="N147" s="1" t="s">
        <v>596</v>
      </c>
      <c r="O147" s="1" t="s">
        <v>597</v>
      </c>
      <c r="P147" s="3" t="s">
        <v>67</v>
      </c>
      <c r="Q147" s="3" t="s">
        <v>68</v>
      </c>
      <c r="R147" s="3">
        <v>116.0</v>
      </c>
      <c r="S147" s="1" t="s">
        <v>463</v>
      </c>
      <c r="T147" s="1" t="s">
        <v>148</v>
      </c>
      <c r="U147" s="1" t="s">
        <v>157</v>
      </c>
      <c r="V147" s="1" t="s">
        <v>55</v>
      </c>
      <c r="W147" s="1" t="s">
        <v>56</v>
      </c>
      <c r="X147" s="1" t="s">
        <v>57</v>
      </c>
      <c r="Y147" s="1" t="s">
        <v>58</v>
      </c>
      <c r="Z147" s="1" t="s">
        <v>59</v>
      </c>
      <c r="AA147" s="3">
        <v>8.0</v>
      </c>
      <c r="AB147" s="1" t="s">
        <v>60</v>
      </c>
      <c r="AC147" s="3">
        <v>39.0</v>
      </c>
      <c r="AD147" s="3">
        <v>39.0</v>
      </c>
      <c r="AE147" s="5">
        <v>1.0</v>
      </c>
      <c r="AF147" s="3">
        <v>156.0</v>
      </c>
      <c r="AG147" s="3">
        <v>4.0</v>
      </c>
      <c r="AH147" s="3">
        <v>0.0</v>
      </c>
      <c r="AI147" s="3">
        <v>4.0</v>
      </c>
      <c r="AJ147" s="3">
        <v>0.0</v>
      </c>
      <c r="AK147" s="3">
        <v>0.0</v>
      </c>
      <c r="AL147" s="3">
        <v>4.0</v>
      </c>
    </row>
    <row r="148">
      <c r="A148" s="1" t="s">
        <v>38</v>
      </c>
      <c r="B148" s="3">
        <v>40367.0</v>
      </c>
      <c r="C148" s="6">
        <v>46330.0</v>
      </c>
      <c r="D148" s="3" t="s">
        <v>40</v>
      </c>
      <c r="E148" s="1" t="s">
        <v>41</v>
      </c>
      <c r="F148" s="3">
        <v>82040.0</v>
      </c>
      <c r="G148" s="1" t="s">
        <v>598</v>
      </c>
      <c r="H148" s="4">
        <v>45826.624456018515</v>
      </c>
      <c r="I148" s="1" t="s">
        <v>599</v>
      </c>
      <c r="J148" s="1" t="s">
        <v>151</v>
      </c>
      <c r="K148" s="1" t="s">
        <v>152</v>
      </c>
      <c r="L148" s="1" t="s">
        <v>46</v>
      </c>
      <c r="M148" s="1" t="s">
        <v>47</v>
      </c>
      <c r="N148" s="1" t="s">
        <v>600</v>
      </c>
      <c r="O148" s="1" t="s">
        <v>601</v>
      </c>
      <c r="P148" s="3" t="s">
        <v>113</v>
      </c>
      <c r="Q148" s="3" t="s">
        <v>51</v>
      </c>
      <c r="R148" s="3">
        <v>1950.0</v>
      </c>
      <c r="S148" s="1" t="s">
        <v>101</v>
      </c>
      <c r="T148" s="1" t="s">
        <v>53</v>
      </c>
      <c r="U148" s="1" t="s">
        <v>54</v>
      </c>
      <c r="V148" s="1" t="s">
        <v>55</v>
      </c>
      <c r="W148" s="1" t="s">
        <v>56</v>
      </c>
      <c r="X148" s="1" t="s">
        <v>57</v>
      </c>
      <c r="Y148" s="1" t="s">
        <v>58</v>
      </c>
      <c r="Z148" s="1" t="s">
        <v>59</v>
      </c>
      <c r="AA148" s="3">
        <v>8.0</v>
      </c>
      <c r="AB148" s="1" t="s">
        <v>60</v>
      </c>
      <c r="AC148" s="3">
        <v>35.0</v>
      </c>
      <c r="AD148" s="3">
        <v>35.0</v>
      </c>
      <c r="AE148" s="5">
        <v>0.5086</v>
      </c>
      <c r="AF148" s="3">
        <v>89.0</v>
      </c>
      <c r="AG148" s="3">
        <v>5.0</v>
      </c>
      <c r="AH148" s="3">
        <v>0.0</v>
      </c>
      <c r="AI148" s="3">
        <v>5.0</v>
      </c>
      <c r="AJ148" s="3">
        <v>0.0</v>
      </c>
      <c r="AK148" s="3">
        <v>0.0</v>
      </c>
      <c r="AL148" s="3">
        <v>5.0</v>
      </c>
    </row>
    <row r="149">
      <c r="A149" s="1" t="s">
        <v>38</v>
      </c>
      <c r="B149" s="3">
        <v>40417.0</v>
      </c>
      <c r="C149" s="3" t="s">
        <v>145</v>
      </c>
      <c r="D149" s="3" t="s">
        <v>146</v>
      </c>
      <c r="E149" s="1" t="s">
        <v>41</v>
      </c>
      <c r="F149" s="3">
        <v>62418.0</v>
      </c>
      <c r="G149" s="1" t="s">
        <v>602</v>
      </c>
      <c r="H149" s="4">
        <v>44968.102789351855</v>
      </c>
      <c r="I149" s="1" t="s">
        <v>43</v>
      </c>
      <c r="J149" s="1" t="s">
        <v>275</v>
      </c>
      <c r="K149" s="1" t="s">
        <v>241</v>
      </c>
      <c r="L149" s="1" t="s">
        <v>46</v>
      </c>
      <c r="M149" s="1" t="s">
        <v>47</v>
      </c>
      <c r="N149" s="1" t="s">
        <v>589</v>
      </c>
      <c r="O149" s="1" t="s">
        <v>603</v>
      </c>
      <c r="P149" s="3" t="s">
        <v>145</v>
      </c>
      <c r="Q149" s="3" t="s">
        <v>88</v>
      </c>
      <c r="R149" s="3">
        <v>114.0</v>
      </c>
      <c r="S149" s="1" t="s">
        <v>453</v>
      </c>
      <c r="T149" s="1" t="s">
        <v>148</v>
      </c>
      <c r="U149" s="1" t="s">
        <v>157</v>
      </c>
      <c r="V149" s="1" t="s">
        <v>55</v>
      </c>
      <c r="W149" s="1" t="s">
        <v>56</v>
      </c>
      <c r="X149" s="1" t="s">
        <v>57</v>
      </c>
      <c r="Y149" s="1" t="s">
        <v>58</v>
      </c>
      <c r="Z149" s="1" t="s">
        <v>59</v>
      </c>
      <c r="AA149" s="3">
        <v>7.0</v>
      </c>
      <c r="AB149" s="1" t="s">
        <v>60</v>
      </c>
      <c r="AC149" s="3">
        <v>20.0</v>
      </c>
      <c r="AD149" s="3">
        <v>20.0</v>
      </c>
      <c r="AE149" s="5">
        <v>0.8</v>
      </c>
      <c r="AF149" s="3">
        <v>80.0</v>
      </c>
      <c r="AG149" s="3">
        <v>5.0</v>
      </c>
      <c r="AH149" s="3">
        <v>0.0</v>
      </c>
      <c r="AI149" s="3">
        <v>3.0</v>
      </c>
      <c r="AJ149" s="3">
        <v>2.0</v>
      </c>
      <c r="AK149" s="3">
        <v>0.0</v>
      </c>
      <c r="AL149" s="3">
        <v>5.0</v>
      </c>
    </row>
    <row r="150">
      <c r="A150" s="1" t="s">
        <v>38</v>
      </c>
      <c r="B150" s="3">
        <v>40419.0</v>
      </c>
      <c r="C150" s="3" t="s">
        <v>145</v>
      </c>
      <c r="D150" s="3" t="s">
        <v>146</v>
      </c>
      <c r="E150" s="1" t="s">
        <v>41</v>
      </c>
      <c r="F150" s="3">
        <v>62418.0</v>
      </c>
      <c r="G150" s="1" t="s">
        <v>602</v>
      </c>
      <c r="H150" s="4">
        <v>44968.102789351855</v>
      </c>
      <c r="I150" s="1" t="s">
        <v>43</v>
      </c>
      <c r="J150" s="1" t="s">
        <v>275</v>
      </c>
      <c r="K150" s="1" t="s">
        <v>241</v>
      </c>
      <c r="L150" s="1" t="s">
        <v>46</v>
      </c>
      <c r="M150" s="1" t="s">
        <v>47</v>
      </c>
      <c r="N150" s="1" t="s">
        <v>589</v>
      </c>
      <c r="O150" s="1" t="s">
        <v>603</v>
      </c>
      <c r="P150" s="3" t="s">
        <v>155</v>
      </c>
      <c r="Q150" s="3" t="s">
        <v>88</v>
      </c>
      <c r="R150" s="3">
        <v>115.0</v>
      </c>
      <c r="S150" s="1" t="s">
        <v>454</v>
      </c>
      <c r="T150" s="1" t="s">
        <v>148</v>
      </c>
      <c r="U150" s="1" t="s">
        <v>157</v>
      </c>
      <c r="V150" s="1" t="s">
        <v>55</v>
      </c>
      <c r="W150" s="1" t="s">
        <v>56</v>
      </c>
      <c r="X150" s="1" t="s">
        <v>57</v>
      </c>
      <c r="Y150" s="1" t="s">
        <v>58</v>
      </c>
      <c r="Z150" s="1" t="s">
        <v>59</v>
      </c>
      <c r="AA150" s="3">
        <v>7.0</v>
      </c>
      <c r="AB150" s="1" t="s">
        <v>60</v>
      </c>
      <c r="AC150" s="3">
        <v>13.0</v>
      </c>
      <c r="AD150" s="3">
        <v>13.0</v>
      </c>
      <c r="AE150" s="5">
        <v>0.8205</v>
      </c>
      <c r="AF150" s="3">
        <v>32.0</v>
      </c>
      <c r="AG150" s="3">
        <v>3.0</v>
      </c>
      <c r="AH150" s="3">
        <v>0.0</v>
      </c>
      <c r="AI150" s="3">
        <v>3.0</v>
      </c>
      <c r="AJ150" s="3">
        <v>0.0</v>
      </c>
      <c r="AK150" s="3">
        <v>0.0</v>
      </c>
      <c r="AL150" s="3">
        <v>3.0</v>
      </c>
    </row>
    <row r="151">
      <c r="A151" s="1" t="s">
        <v>38</v>
      </c>
      <c r="B151" s="3">
        <v>40420.0</v>
      </c>
      <c r="C151" s="3" t="s">
        <v>145</v>
      </c>
      <c r="D151" s="3" t="s">
        <v>146</v>
      </c>
      <c r="E151" s="1" t="s">
        <v>41</v>
      </c>
      <c r="F151" s="3">
        <v>62418.0</v>
      </c>
      <c r="G151" s="1" t="s">
        <v>602</v>
      </c>
      <c r="H151" s="4">
        <v>44968.102789351855</v>
      </c>
      <c r="I151" s="1" t="s">
        <v>43</v>
      </c>
      <c r="J151" s="1" t="s">
        <v>275</v>
      </c>
      <c r="K151" s="1" t="s">
        <v>241</v>
      </c>
      <c r="L151" s="1" t="s">
        <v>46</v>
      </c>
      <c r="M151" s="1" t="s">
        <v>47</v>
      </c>
      <c r="N151" s="1" t="s">
        <v>589</v>
      </c>
      <c r="O151" s="1" t="s">
        <v>603</v>
      </c>
      <c r="P151" s="3" t="s">
        <v>145</v>
      </c>
      <c r="Q151" s="3" t="s">
        <v>193</v>
      </c>
      <c r="R151" s="3">
        <v>115.0</v>
      </c>
      <c r="S151" s="1" t="s">
        <v>454</v>
      </c>
      <c r="T151" s="1" t="s">
        <v>148</v>
      </c>
      <c r="U151" s="1" t="s">
        <v>157</v>
      </c>
      <c r="V151" s="1" t="s">
        <v>55</v>
      </c>
      <c r="W151" s="1" t="s">
        <v>56</v>
      </c>
      <c r="X151" s="1" t="s">
        <v>57</v>
      </c>
      <c r="Y151" s="1" t="s">
        <v>58</v>
      </c>
      <c r="Z151" s="1" t="s">
        <v>59</v>
      </c>
      <c r="AA151" s="3">
        <v>8.0</v>
      </c>
      <c r="AB151" s="1" t="s">
        <v>60</v>
      </c>
      <c r="AC151" s="3">
        <v>31.0</v>
      </c>
      <c r="AD151" s="3">
        <v>31.0</v>
      </c>
      <c r="AE151" s="5">
        <v>0.8065</v>
      </c>
      <c r="AF151" s="3">
        <v>50.0</v>
      </c>
      <c r="AG151" s="3">
        <v>2.0</v>
      </c>
      <c r="AH151" s="3">
        <v>0.0</v>
      </c>
      <c r="AI151" s="3">
        <v>1.0</v>
      </c>
      <c r="AJ151" s="3">
        <v>1.0</v>
      </c>
      <c r="AK151" s="3">
        <v>0.0</v>
      </c>
      <c r="AL151" s="3">
        <v>2.0</v>
      </c>
    </row>
    <row r="152">
      <c r="A152" s="1" t="s">
        <v>38</v>
      </c>
      <c r="B152" s="3">
        <v>40240.0</v>
      </c>
      <c r="C152" s="6">
        <v>46026.0</v>
      </c>
      <c r="D152" s="3" t="s">
        <v>40</v>
      </c>
      <c r="E152" s="1" t="s">
        <v>41</v>
      </c>
      <c r="F152" s="3">
        <v>75059.0</v>
      </c>
      <c r="G152" s="1" t="s">
        <v>604</v>
      </c>
      <c r="H152" s="4">
        <v>45499.656122685185</v>
      </c>
      <c r="I152" s="1" t="s">
        <v>43</v>
      </c>
      <c r="J152" s="1" t="s">
        <v>151</v>
      </c>
      <c r="K152" s="1" t="s">
        <v>152</v>
      </c>
      <c r="L152" s="1" t="s">
        <v>46</v>
      </c>
      <c r="M152" s="1" t="s">
        <v>105</v>
      </c>
      <c r="N152" s="1" t="s">
        <v>605</v>
      </c>
      <c r="O152" s="1" t="s">
        <v>606</v>
      </c>
      <c r="P152" s="3" t="s">
        <v>178</v>
      </c>
      <c r="Q152" s="3" t="s">
        <v>128</v>
      </c>
      <c r="R152" s="3">
        <v>1791.0</v>
      </c>
      <c r="S152" s="1" t="s">
        <v>69</v>
      </c>
      <c r="T152" s="1" t="s">
        <v>53</v>
      </c>
      <c r="U152" s="1" t="s">
        <v>70</v>
      </c>
      <c r="V152" s="1" t="s">
        <v>71</v>
      </c>
      <c r="W152" s="1" t="s">
        <v>56</v>
      </c>
      <c r="X152" s="1" t="s">
        <v>72</v>
      </c>
      <c r="Y152" s="1" t="s">
        <v>58</v>
      </c>
      <c r="Z152" s="1" t="s">
        <v>59</v>
      </c>
      <c r="AA152" s="3">
        <v>6.0</v>
      </c>
      <c r="AB152" s="1" t="s">
        <v>82</v>
      </c>
      <c r="AC152" s="3">
        <v>16.0</v>
      </c>
      <c r="AD152" s="3">
        <v>16.0</v>
      </c>
      <c r="AE152" s="5">
        <v>1.0</v>
      </c>
      <c r="AF152" s="3">
        <v>80.0</v>
      </c>
      <c r="AG152" s="3">
        <v>5.0</v>
      </c>
      <c r="AH152" s="3">
        <v>0.0</v>
      </c>
      <c r="AI152" s="3">
        <v>5.0</v>
      </c>
      <c r="AJ152" s="3">
        <v>0.0</v>
      </c>
      <c r="AK152" s="3">
        <v>0.0</v>
      </c>
      <c r="AL152" s="3">
        <v>5.0</v>
      </c>
    </row>
    <row r="153">
      <c r="A153" s="1" t="s">
        <v>38</v>
      </c>
      <c r="B153" s="3">
        <v>40288.0</v>
      </c>
      <c r="C153" s="6">
        <v>46026.0</v>
      </c>
      <c r="D153" s="3" t="s">
        <v>40</v>
      </c>
      <c r="E153" s="1" t="s">
        <v>41</v>
      </c>
      <c r="F153" s="3">
        <v>75059.0</v>
      </c>
      <c r="G153" s="1" t="s">
        <v>604</v>
      </c>
      <c r="H153" s="4">
        <v>45499.656122685185</v>
      </c>
      <c r="I153" s="1" t="s">
        <v>43</v>
      </c>
      <c r="J153" s="1" t="s">
        <v>151</v>
      </c>
      <c r="K153" s="1" t="s">
        <v>152</v>
      </c>
      <c r="L153" s="1" t="s">
        <v>46</v>
      </c>
      <c r="M153" s="1" t="s">
        <v>105</v>
      </c>
      <c r="N153" s="1" t="s">
        <v>605</v>
      </c>
      <c r="O153" s="1" t="s">
        <v>606</v>
      </c>
      <c r="P153" s="3" t="s">
        <v>128</v>
      </c>
      <c r="Q153" s="3" t="s">
        <v>51</v>
      </c>
      <c r="R153" s="3">
        <v>1789.0</v>
      </c>
      <c r="S153" s="1" t="s">
        <v>247</v>
      </c>
      <c r="T153" s="1" t="s">
        <v>53</v>
      </c>
      <c r="U153" s="1" t="s">
        <v>81</v>
      </c>
      <c r="V153" s="1" t="s">
        <v>71</v>
      </c>
      <c r="W153" s="1" t="s">
        <v>56</v>
      </c>
      <c r="X153" s="1" t="s">
        <v>72</v>
      </c>
      <c r="Y153" s="1" t="s">
        <v>58</v>
      </c>
      <c r="Z153" s="1" t="s">
        <v>59</v>
      </c>
      <c r="AA153" s="3">
        <v>8.0</v>
      </c>
      <c r="AB153" s="1" t="s">
        <v>82</v>
      </c>
      <c r="AC153" s="3">
        <v>38.0</v>
      </c>
      <c r="AD153" s="3">
        <v>38.0</v>
      </c>
      <c r="AE153" s="5">
        <v>0.7368</v>
      </c>
      <c r="AF153" s="3">
        <v>56.0</v>
      </c>
      <c r="AG153" s="3">
        <v>2.0</v>
      </c>
      <c r="AH153" s="3">
        <v>0.0</v>
      </c>
      <c r="AI153" s="3">
        <v>2.0</v>
      </c>
      <c r="AJ153" s="3">
        <v>0.0</v>
      </c>
      <c r="AK153" s="3">
        <v>0.0</v>
      </c>
      <c r="AL153" s="3">
        <v>2.0</v>
      </c>
    </row>
    <row r="154">
      <c r="A154" s="1" t="s">
        <v>38</v>
      </c>
      <c r="B154" s="3">
        <v>40261.0</v>
      </c>
      <c r="C154" s="3" t="s">
        <v>39</v>
      </c>
      <c r="D154" s="3" t="s">
        <v>83</v>
      </c>
      <c r="E154" s="1" t="s">
        <v>41</v>
      </c>
      <c r="F154" s="3">
        <v>79536.0</v>
      </c>
      <c r="G154" s="1" t="s">
        <v>607</v>
      </c>
      <c r="H154" s="4">
        <v>45665.45725694444</v>
      </c>
      <c r="I154" s="1" t="s">
        <v>303</v>
      </c>
      <c r="J154" s="1" t="s">
        <v>315</v>
      </c>
      <c r="K154" s="1" t="s">
        <v>124</v>
      </c>
      <c r="L154" s="1" t="s">
        <v>46</v>
      </c>
      <c r="M154" s="1" t="s">
        <v>236</v>
      </c>
      <c r="N154" s="1" t="s">
        <v>608</v>
      </c>
      <c r="O154" s="1" t="s">
        <v>609</v>
      </c>
      <c r="P154" s="3" t="s">
        <v>547</v>
      </c>
      <c r="Q154" s="3" t="s">
        <v>128</v>
      </c>
      <c r="R154" s="3">
        <v>1984.0</v>
      </c>
      <c r="S154" s="1" t="s">
        <v>89</v>
      </c>
      <c r="T154" s="1" t="s">
        <v>90</v>
      </c>
      <c r="U154" s="1" t="s">
        <v>91</v>
      </c>
      <c r="V154" s="1" t="s">
        <v>92</v>
      </c>
      <c r="W154" s="1" t="s">
        <v>93</v>
      </c>
      <c r="X154" s="1" t="s">
        <v>57</v>
      </c>
      <c r="Y154" s="1" t="s">
        <v>58</v>
      </c>
      <c r="Z154" s="1" t="s">
        <v>59</v>
      </c>
      <c r="AA154" s="3">
        <v>8.0</v>
      </c>
      <c r="AB154" s="1" t="s">
        <v>188</v>
      </c>
      <c r="AC154" s="3">
        <v>9.0</v>
      </c>
      <c r="AD154" s="3">
        <v>9.0</v>
      </c>
      <c r="AE154" s="5">
        <v>0.8519</v>
      </c>
      <c r="AF154" s="3">
        <v>23.0</v>
      </c>
      <c r="AG154" s="3">
        <v>3.0</v>
      </c>
      <c r="AH154" s="3">
        <v>0.0</v>
      </c>
      <c r="AI154" s="3">
        <v>3.0</v>
      </c>
      <c r="AJ154" s="3">
        <v>0.0</v>
      </c>
      <c r="AK154" s="3">
        <v>0.0</v>
      </c>
      <c r="AL154" s="3">
        <v>3.0</v>
      </c>
    </row>
    <row r="155">
      <c r="A155" s="1" t="s">
        <v>38</v>
      </c>
      <c r="B155" s="3">
        <v>40228.0</v>
      </c>
      <c r="C155" s="6">
        <v>46299.0</v>
      </c>
      <c r="D155" s="3" t="s">
        <v>83</v>
      </c>
      <c r="E155" s="1" t="s">
        <v>41</v>
      </c>
      <c r="F155" s="3">
        <v>89484.0</v>
      </c>
      <c r="G155" s="1" t="s">
        <v>610</v>
      </c>
      <c r="H155" s="4">
        <v>46122.70138888889</v>
      </c>
      <c r="I155" s="1" t="s">
        <v>43</v>
      </c>
      <c r="J155" s="1" t="s">
        <v>611</v>
      </c>
      <c r="K155" s="1" t="s">
        <v>53</v>
      </c>
      <c r="L155" s="1" t="s">
        <v>46</v>
      </c>
      <c r="M155" s="1" t="s">
        <v>77</v>
      </c>
      <c r="N155" s="1" t="s">
        <v>612</v>
      </c>
      <c r="O155" s="1" t="s">
        <v>613</v>
      </c>
      <c r="P155" s="3" t="s">
        <v>68</v>
      </c>
      <c r="Q155" s="3" t="s">
        <v>100</v>
      </c>
      <c r="R155" s="3">
        <v>1758.0</v>
      </c>
      <c r="S155" s="1" t="s">
        <v>185</v>
      </c>
      <c r="T155" s="1" t="s">
        <v>186</v>
      </c>
      <c r="U155" s="1" t="s">
        <v>187</v>
      </c>
      <c r="V155" s="1" t="s">
        <v>92</v>
      </c>
      <c r="W155" s="1" t="s">
        <v>93</v>
      </c>
      <c r="X155" s="1" t="s">
        <v>57</v>
      </c>
      <c r="Y155" s="1" t="s">
        <v>58</v>
      </c>
      <c r="Z155" s="1" t="s">
        <v>59</v>
      </c>
      <c r="AA155" s="3">
        <v>7.0</v>
      </c>
      <c r="AB155" s="1" t="s">
        <v>94</v>
      </c>
      <c r="AC155" s="3">
        <v>10.0</v>
      </c>
      <c r="AD155" s="3">
        <v>10.0</v>
      </c>
      <c r="AE155" s="5">
        <v>1.0</v>
      </c>
      <c r="AF155" s="3">
        <v>20.0</v>
      </c>
      <c r="AG155" s="3">
        <v>2.0</v>
      </c>
      <c r="AH155" s="3">
        <v>0.0</v>
      </c>
      <c r="AI155" s="3">
        <v>2.0</v>
      </c>
      <c r="AJ155" s="3">
        <v>0.0</v>
      </c>
      <c r="AK155" s="3">
        <v>0.0</v>
      </c>
      <c r="AL155" s="3">
        <v>2.0</v>
      </c>
    </row>
    <row r="156">
      <c r="A156" s="1" t="s">
        <v>38</v>
      </c>
      <c r="B156" s="3">
        <v>40378.0</v>
      </c>
      <c r="C156" s="3" t="s">
        <v>39</v>
      </c>
      <c r="D156" s="3" t="s">
        <v>40</v>
      </c>
      <c r="E156" s="1" t="s">
        <v>41</v>
      </c>
      <c r="F156" s="3">
        <v>77360.0</v>
      </c>
      <c r="G156" s="1" t="s">
        <v>614</v>
      </c>
      <c r="H156" s="4">
        <v>45580.773043981484</v>
      </c>
      <c r="I156" s="1" t="s">
        <v>43</v>
      </c>
      <c r="J156" s="1" t="s">
        <v>615</v>
      </c>
      <c r="K156" s="1" t="s">
        <v>148</v>
      </c>
      <c r="L156" s="1" t="s">
        <v>46</v>
      </c>
      <c r="M156" s="1" t="s">
        <v>105</v>
      </c>
      <c r="N156" s="1" t="s">
        <v>183</v>
      </c>
      <c r="O156" s="1" t="s">
        <v>616</v>
      </c>
      <c r="P156" s="3" t="s">
        <v>394</v>
      </c>
      <c r="Q156" s="3" t="s">
        <v>68</v>
      </c>
      <c r="R156" s="3">
        <v>1943.0</v>
      </c>
      <c r="S156" s="1" t="s">
        <v>548</v>
      </c>
      <c r="T156" s="1" t="s">
        <v>53</v>
      </c>
      <c r="U156" s="1" t="s">
        <v>115</v>
      </c>
      <c r="V156" s="1" t="s">
        <v>55</v>
      </c>
      <c r="W156" s="1" t="s">
        <v>56</v>
      </c>
      <c r="X156" s="1" t="s">
        <v>57</v>
      </c>
      <c r="Y156" s="1" t="s">
        <v>58</v>
      </c>
      <c r="Z156" s="1" t="s">
        <v>59</v>
      </c>
      <c r="AA156" s="3">
        <v>7.0</v>
      </c>
      <c r="AB156" s="1" t="s">
        <v>60</v>
      </c>
      <c r="AC156" s="3">
        <v>29.0</v>
      </c>
      <c r="AD156" s="3">
        <v>28.0</v>
      </c>
      <c r="AE156" s="5">
        <v>0.8571</v>
      </c>
      <c r="AF156" s="3">
        <v>48.0</v>
      </c>
      <c r="AG156" s="3">
        <v>2.0</v>
      </c>
      <c r="AH156" s="3">
        <v>0.0</v>
      </c>
      <c r="AI156" s="3">
        <v>2.0</v>
      </c>
      <c r="AJ156" s="3">
        <v>0.0</v>
      </c>
      <c r="AK156" s="3">
        <v>0.0</v>
      </c>
      <c r="AL156" s="3">
        <v>2.0</v>
      </c>
    </row>
    <row r="157">
      <c r="A157" s="1" t="s">
        <v>38</v>
      </c>
      <c r="B157" s="3">
        <v>40396.0</v>
      </c>
      <c r="C157" s="3" t="s">
        <v>145</v>
      </c>
      <c r="D157" s="3" t="s">
        <v>146</v>
      </c>
      <c r="E157" s="1" t="s">
        <v>41</v>
      </c>
      <c r="F157" s="3">
        <v>77360.0</v>
      </c>
      <c r="G157" s="1" t="s">
        <v>614</v>
      </c>
      <c r="H157" s="4">
        <v>45580.773043981484</v>
      </c>
      <c r="I157" s="1" t="s">
        <v>43</v>
      </c>
      <c r="J157" s="1" t="s">
        <v>615</v>
      </c>
      <c r="K157" s="1" t="s">
        <v>148</v>
      </c>
      <c r="L157" s="1" t="s">
        <v>46</v>
      </c>
      <c r="M157" s="1" t="s">
        <v>105</v>
      </c>
      <c r="N157" s="1" t="s">
        <v>183</v>
      </c>
      <c r="O157" s="1" t="s">
        <v>616</v>
      </c>
      <c r="P157" s="3" t="s">
        <v>193</v>
      </c>
      <c r="Q157" s="3" t="s">
        <v>128</v>
      </c>
      <c r="R157" s="3">
        <v>1320.0</v>
      </c>
      <c r="S157" s="1" t="s">
        <v>558</v>
      </c>
      <c r="T157" s="1" t="s">
        <v>148</v>
      </c>
      <c r="U157" s="1" t="s">
        <v>149</v>
      </c>
      <c r="V157" s="1" t="s">
        <v>55</v>
      </c>
      <c r="W157" s="1" t="s">
        <v>56</v>
      </c>
      <c r="X157" s="1" t="s">
        <v>57</v>
      </c>
      <c r="Y157" s="1" t="s">
        <v>58</v>
      </c>
      <c r="Z157" s="1" t="s">
        <v>59</v>
      </c>
      <c r="AA157" s="3">
        <v>6.0</v>
      </c>
      <c r="AB157" s="1" t="s">
        <v>60</v>
      </c>
      <c r="AC157" s="3">
        <v>34.0</v>
      </c>
      <c r="AD157" s="3">
        <v>34.0</v>
      </c>
      <c r="AE157" s="5">
        <v>0.6029</v>
      </c>
      <c r="AF157" s="3">
        <v>41.0</v>
      </c>
      <c r="AG157" s="3">
        <v>4.0</v>
      </c>
      <c r="AH157" s="3">
        <v>0.0</v>
      </c>
      <c r="AI157" s="3">
        <v>2.0</v>
      </c>
      <c r="AJ157" s="3">
        <v>0.0</v>
      </c>
      <c r="AK157" s="3">
        <v>2.0</v>
      </c>
      <c r="AL157" s="3">
        <v>2.0</v>
      </c>
    </row>
    <row r="158">
      <c r="A158" s="1" t="s">
        <v>38</v>
      </c>
      <c r="B158" s="3">
        <v>40304.0</v>
      </c>
      <c r="C158" s="6">
        <v>46299.0</v>
      </c>
      <c r="D158" s="3" t="s">
        <v>95</v>
      </c>
      <c r="E158" s="1" t="s">
        <v>41</v>
      </c>
      <c r="F158" s="3">
        <v>89562.0</v>
      </c>
      <c r="G158" s="1" t="s">
        <v>617</v>
      </c>
      <c r="H158" s="4">
        <v>46126.99728009259</v>
      </c>
      <c r="I158" s="1" t="s">
        <v>43</v>
      </c>
      <c r="J158" s="1" t="s">
        <v>618</v>
      </c>
      <c r="K158" s="1" t="s">
        <v>63</v>
      </c>
      <c r="L158" s="1" t="s">
        <v>46</v>
      </c>
      <c r="M158" s="1" t="s">
        <v>64</v>
      </c>
      <c r="N158" s="1" t="s">
        <v>161</v>
      </c>
      <c r="O158" s="1" t="s">
        <v>619</v>
      </c>
      <c r="P158" s="3" t="s">
        <v>547</v>
      </c>
      <c r="Q158" s="3" t="s">
        <v>88</v>
      </c>
      <c r="R158" s="3">
        <v>1720.0</v>
      </c>
      <c r="S158" s="1" t="s">
        <v>172</v>
      </c>
      <c r="T158" s="1" t="s">
        <v>53</v>
      </c>
      <c r="U158" s="1" t="s">
        <v>81</v>
      </c>
      <c r="V158" s="1" t="s">
        <v>130</v>
      </c>
      <c r="W158" s="1" t="s">
        <v>56</v>
      </c>
      <c r="X158" s="1" t="s">
        <v>57</v>
      </c>
      <c r="Y158" s="1" t="s">
        <v>58</v>
      </c>
      <c r="Z158" s="1" t="s">
        <v>59</v>
      </c>
      <c r="AA158" s="3">
        <v>7.0</v>
      </c>
      <c r="AB158" s="1" t="s">
        <v>144</v>
      </c>
      <c r="AC158" s="3">
        <v>29.0</v>
      </c>
      <c r="AD158" s="3">
        <v>29.0</v>
      </c>
      <c r="AE158" s="5">
        <v>0.5931</v>
      </c>
      <c r="AF158" s="3">
        <v>86.0</v>
      </c>
      <c r="AG158" s="3">
        <v>5.0</v>
      </c>
      <c r="AH158" s="3">
        <v>0.0</v>
      </c>
      <c r="AI158" s="3">
        <v>3.0</v>
      </c>
      <c r="AJ158" s="3">
        <v>2.0</v>
      </c>
      <c r="AK158" s="3">
        <v>0.0</v>
      </c>
      <c r="AL158" s="3">
        <v>5.0</v>
      </c>
    </row>
    <row r="159">
      <c r="A159" s="1" t="s">
        <v>38</v>
      </c>
      <c r="B159" s="3">
        <v>40302.0</v>
      </c>
      <c r="C159" s="6">
        <v>46026.0</v>
      </c>
      <c r="D159" s="3" t="s">
        <v>40</v>
      </c>
      <c r="E159" s="1" t="s">
        <v>41</v>
      </c>
      <c r="F159" s="3">
        <v>27924.0</v>
      </c>
      <c r="G159" s="1" t="s">
        <v>620</v>
      </c>
      <c r="H159" s="4">
        <v>43600.89809027778</v>
      </c>
      <c r="I159" s="1" t="s">
        <v>43</v>
      </c>
      <c r="J159" s="1" t="s">
        <v>473</v>
      </c>
      <c r="K159" s="1" t="s">
        <v>118</v>
      </c>
      <c r="L159" s="1" t="s">
        <v>46</v>
      </c>
      <c r="M159" s="1" t="s">
        <v>621</v>
      </c>
      <c r="N159" s="1" t="s">
        <v>237</v>
      </c>
      <c r="O159" s="1" t="s">
        <v>622</v>
      </c>
      <c r="P159" s="3" t="s">
        <v>51</v>
      </c>
      <c r="Q159" s="3" t="s">
        <v>51</v>
      </c>
      <c r="R159" s="3">
        <v>1778.0</v>
      </c>
      <c r="S159" s="1" t="s">
        <v>136</v>
      </c>
      <c r="T159" s="1" t="s">
        <v>53</v>
      </c>
      <c r="U159" s="1" t="s">
        <v>70</v>
      </c>
      <c r="V159" s="1" t="s">
        <v>71</v>
      </c>
      <c r="W159" s="1" t="s">
        <v>56</v>
      </c>
      <c r="X159" s="1" t="s">
        <v>72</v>
      </c>
      <c r="Y159" s="1" t="s">
        <v>58</v>
      </c>
      <c r="Z159" s="1" t="s">
        <v>59</v>
      </c>
      <c r="AA159" s="3">
        <v>7.0</v>
      </c>
      <c r="AB159" s="1" t="s">
        <v>60</v>
      </c>
      <c r="AC159" s="3">
        <v>36.0</v>
      </c>
      <c r="AD159" s="3">
        <v>36.0</v>
      </c>
      <c r="AE159" s="5">
        <v>0.4167</v>
      </c>
      <c r="AF159" s="3">
        <v>15.0</v>
      </c>
      <c r="AG159" s="3">
        <v>1.0</v>
      </c>
      <c r="AH159" s="3">
        <v>0.0</v>
      </c>
      <c r="AI159" s="3">
        <v>1.0</v>
      </c>
      <c r="AJ159" s="3">
        <v>0.0</v>
      </c>
      <c r="AK159" s="3">
        <v>0.0</v>
      </c>
      <c r="AL159" s="3">
        <v>1.0</v>
      </c>
    </row>
    <row r="160">
      <c r="A160" s="1" t="s">
        <v>38</v>
      </c>
      <c r="B160" s="3">
        <v>40254.0</v>
      </c>
      <c r="C160" s="6">
        <v>46026.0</v>
      </c>
      <c r="D160" s="3" t="s">
        <v>40</v>
      </c>
      <c r="E160" s="1" t="s">
        <v>41</v>
      </c>
      <c r="F160" s="3">
        <v>82567.0</v>
      </c>
      <c r="G160" s="1" t="s">
        <v>623</v>
      </c>
      <c r="H160" s="4">
        <v>45838.5462962963</v>
      </c>
      <c r="I160" s="1" t="s">
        <v>421</v>
      </c>
      <c r="J160" s="1" t="s">
        <v>85</v>
      </c>
      <c r="K160" s="1" t="s">
        <v>63</v>
      </c>
      <c r="L160" s="1" t="s">
        <v>46</v>
      </c>
      <c r="M160" s="1" t="s">
        <v>47</v>
      </c>
      <c r="N160" s="1" t="s">
        <v>507</v>
      </c>
      <c r="O160" s="1" t="s">
        <v>624</v>
      </c>
      <c r="P160" s="3" t="s">
        <v>178</v>
      </c>
      <c r="Q160" s="3" t="s">
        <v>51</v>
      </c>
      <c r="R160" s="3">
        <v>1784.0</v>
      </c>
      <c r="S160" s="1" t="s">
        <v>328</v>
      </c>
      <c r="T160" s="1" t="s">
        <v>53</v>
      </c>
      <c r="U160" s="1" t="s">
        <v>81</v>
      </c>
      <c r="V160" s="1" t="s">
        <v>71</v>
      </c>
      <c r="W160" s="1" t="s">
        <v>56</v>
      </c>
      <c r="X160" s="1" t="s">
        <v>72</v>
      </c>
      <c r="Y160" s="1" t="s">
        <v>58</v>
      </c>
      <c r="Z160" s="1" t="s">
        <v>59</v>
      </c>
      <c r="AA160" s="3">
        <v>8.0</v>
      </c>
      <c r="AB160" s="1" t="s">
        <v>82</v>
      </c>
      <c r="AC160" s="3">
        <v>111.0</v>
      </c>
      <c r="AD160" s="3">
        <v>111.0</v>
      </c>
      <c r="AE160" s="5">
        <v>0.6396</v>
      </c>
      <c r="AF160" s="3">
        <v>426.0</v>
      </c>
      <c r="AG160" s="3">
        <v>6.0</v>
      </c>
      <c r="AH160" s="3">
        <v>0.0</v>
      </c>
      <c r="AI160" s="3">
        <v>6.0</v>
      </c>
      <c r="AJ160" s="3">
        <v>0.0</v>
      </c>
      <c r="AK160" s="3">
        <v>0.0</v>
      </c>
      <c r="AL160" s="3">
        <v>6.0</v>
      </c>
    </row>
    <row r="161">
      <c r="AE161" s="8"/>
    </row>
    <row r="162">
      <c r="AE162" s="8"/>
    </row>
    <row r="163">
      <c r="AE163" s="8"/>
    </row>
    <row r="164">
      <c r="AE164" s="8"/>
    </row>
    <row r="165">
      <c r="AE165" s="8"/>
    </row>
    <row r="166">
      <c r="AE166" s="8"/>
    </row>
    <row r="167">
      <c r="AE167" s="8"/>
    </row>
    <row r="168">
      <c r="AE168" s="8"/>
    </row>
    <row r="169">
      <c r="AE169" s="8"/>
    </row>
    <row r="170">
      <c r="AE170" s="8"/>
    </row>
    <row r="171">
      <c r="AE171" s="8"/>
    </row>
    <row r="172">
      <c r="AE172" s="8"/>
    </row>
    <row r="173">
      <c r="AE173" s="8"/>
    </row>
    <row r="174">
      <c r="AE174" s="8"/>
    </row>
    <row r="175">
      <c r="AE175" s="8"/>
    </row>
    <row r="176">
      <c r="AE176" s="8"/>
    </row>
    <row r="177">
      <c r="AE177" s="8"/>
    </row>
    <row r="178">
      <c r="AE178" s="8"/>
    </row>
    <row r="179">
      <c r="AE179" s="8"/>
    </row>
    <row r="180">
      <c r="AE180" s="8"/>
    </row>
    <row r="181">
      <c r="AE181" s="8"/>
    </row>
    <row r="182">
      <c r="AE182" s="8"/>
    </row>
    <row r="183">
      <c r="AE183" s="8"/>
    </row>
    <row r="184">
      <c r="AE184" s="8"/>
    </row>
    <row r="185">
      <c r="AE185" s="8"/>
    </row>
    <row r="186">
      <c r="AE186" s="8"/>
    </row>
    <row r="187">
      <c r="AE187" s="8"/>
    </row>
    <row r="188">
      <c r="AE188" s="8"/>
    </row>
    <row r="189">
      <c r="AE189" s="8"/>
    </row>
    <row r="190">
      <c r="AE190" s="8"/>
    </row>
    <row r="191">
      <c r="AE191" s="8"/>
    </row>
    <row r="192">
      <c r="AE192" s="8"/>
    </row>
    <row r="193">
      <c r="AE193" s="8"/>
    </row>
    <row r="194">
      <c r="AE194" s="8"/>
    </row>
    <row r="195">
      <c r="AE195" s="8"/>
    </row>
    <row r="196">
      <c r="AE196" s="8"/>
    </row>
    <row r="197">
      <c r="AE197" s="8"/>
    </row>
    <row r="198">
      <c r="AE198" s="8"/>
    </row>
    <row r="199">
      <c r="AE199" s="8"/>
    </row>
    <row r="200">
      <c r="AE200" s="8"/>
    </row>
    <row r="201">
      <c r="AE201" s="8"/>
    </row>
    <row r="202">
      <c r="AE202" s="8"/>
    </row>
    <row r="203">
      <c r="AE203" s="8"/>
    </row>
    <row r="204">
      <c r="AE204" s="8"/>
    </row>
    <row r="205">
      <c r="AE205" s="8"/>
    </row>
    <row r="206">
      <c r="AE206" s="8"/>
    </row>
    <row r="207">
      <c r="AE207" s="8"/>
    </row>
    <row r="208">
      <c r="AE208" s="8"/>
    </row>
    <row r="209">
      <c r="AE209" s="8"/>
    </row>
    <row r="210">
      <c r="AE210" s="8"/>
    </row>
    <row r="211">
      <c r="AE211" s="8"/>
    </row>
    <row r="212">
      <c r="AE212" s="8"/>
    </row>
    <row r="213">
      <c r="AE213" s="8"/>
    </row>
    <row r="214">
      <c r="AE214" s="8"/>
    </row>
    <row r="215">
      <c r="AE215" s="8"/>
    </row>
    <row r="216">
      <c r="AE216" s="8"/>
    </row>
    <row r="217">
      <c r="AE217" s="8"/>
    </row>
    <row r="218">
      <c r="AE218" s="8"/>
    </row>
    <row r="219">
      <c r="AE219" s="8"/>
    </row>
    <row r="220">
      <c r="AE220" s="8"/>
    </row>
    <row r="221">
      <c r="AE221" s="8"/>
    </row>
    <row r="222">
      <c r="AE222" s="8"/>
    </row>
    <row r="223">
      <c r="AE223" s="8"/>
    </row>
    <row r="224">
      <c r="AE224" s="8"/>
    </row>
    <row r="225">
      <c r="AE225" s="8"/>
    </row>
    <row r="226">
      <c r="AE226" s="8"/>
    </row>
    <row r="227">
      <c r="AE227" s="8"/>
    </row>
    <row r="228">
      <c r="AE228" s="8"/>
    </row>
    <row r="229">
      <c r="AE229" s="8"/>
    </row>
    <row r="230">
      <c r="AE230" s="8"/>
    </row>
    <row r="231">
      <c r="AE231" s="8"/>
    </row>
    <row r="232">
      <c r="AE232" s="8"/>
    </row>
    <row r="233">
      <c r="AE233" s="8"/>
    </row>
    <row r="234">
      <c r="AE234" s="8"/>
    </row>
    <row r="235">
      <c r="AE235" s="8"/>
    </row>
    <row r="236">
      <c r="AE236" s="8"/>
    </row>
    <row r="237">
      <c r="AE237" s="8"/>
    </row>
    <row r="238">
      <c r="AE238" s="8"/>
    </row>
    <row r="239">
      <c r="AE239" s="8"/>
    </row>
    <row r="240">
      <c r="AE240" s="8"/>
    </row>
    <row r="241">
      <c r="AE241" s="8"/>
    </row>
    <row r="242">
      <c r="AE242" s="8"/>
    </row>
    <row r="243">
      <c r="AE243" s="8"/>
    </row>
    <row r="244">
      <c r="AE244" s="8"/>
    </row>
    <row r="245">
      <c r="AE245" s="8"/>
    </row>
    <row r="246">
      <c r="AE246" s="8"/>
    </row>
    <row r="247">
      <c r="AE247" s="8"/>
    </row>
    <row r="248">
      <c r="AE248" s="8"/>
    </row>
    <row r="249">
      <c r="AE249" s="8"/>
    </row>
    <row r="250">
      <c r="AE250" s="8"/>
    </row>
    <row r="251">
      <c r="AE251" s="8"/>
    </row>
    <row r="252">
      <c r="AE252" s="8"/>
    </row>
    <row r="253">
      <c r="AE253" s="8"/>
    </row>
    <row r="254">
      <c r="AE254" s="8"/>
    </row>
    <row r="255">
      <c r="AE255" s="8"/>
    </row>
    <row r="256">
      <c r="AE256" s="8"/>
    </row>
    <row r="257">
      <c r="AE257" s="8"/>
    </row>
    <row r="258">
      <c r="AE258" s="8"/>
    </row>
    <row r="259">
      <c r="AE259" s="8"/>
    </row>
    <row r="260">
      <c r="AE260" s="8"/>
    </row>
    <row r="261">
      <c r="AE261" s="8"/>
    </row>
    <row r="262">
      <c r="AE262" s="8"/>
    </row>
    <row r="263">
      <c r="AE263" s="8"/>
    </row>
    <row r="264">
      <c r="AE264" s="8"/>
    </row>
    <row r="265">
      <c r="AE265" s="8"/>
    </row>
    <row r="266">
      <c r="AE266" s="8"/>
    </row>
    <row r="267">
      <c r="AE267" s="8"/>
    </row>
    <row r="268">
      <c r="AE268" s="8"/>
    </row>
    <row r="269">
      <c r="AE269" s="8"/>
    </row>
    <row r="270">
      <c r="AE270" s="8"/>
    </row>
    <row r="271">
      <c r="AE271" s="8"/>
    </row>
    <row r="272">
      <c r="AE272" s="8"/>
    </row>
    <row r="273">
      <c r="AE273" s="8"/>
    </row>
    <row r="274">
      <c r="AE274" s="8"/>
    </row>
    <row r="275">
      <c r="AE275" s="8"/>
    </row>
    <row r="276">
      <c r="AE276" s="8"/>
    </row>
    <row r="277">
      <c r="AE277" s="8"/>
    </row>
    <row r="278">
      <c r="AE278" s="8"/>
    </row>
    <row r="279">
      <c r="AE279" s="8"/>
    </row>
    <row r="280">
      <c r="AE280" s="8"/>
    </row>
    <row r="281">
      <c r="AE281" s="8"/>
    </row>
    <row r="282">
      <c r="AE282" s="8"/>
    </row>
    <row r="283">
      <c r="AE283" s="8"/>
    </row>
    <row r="284">
      <c r="AE284" s="8"/>
    </row>
    <row r="285">
      <c r="AE285" s="8"/>
    </row>
    <row r="286">
      <c r="AE286" s="8"/>
    </row>
    <row r="287">
      <c r="AE287" s="8"/>
    </row>
    <row r="288">
      <c r="AE288" s="8"/>
    </row>
    <row r="289">
      <c r="AE289" s="8"/>
    </row>
    <row r="290">
      <c r="AE290" s="8"/>
    </row>
    <row r="291">
      <c r="AE291" s="8"/>
    </row>
    <row r="292">
      <c r="AE292" s="8"/>
    </row>
    <row r="293">
      <c r="AE293" s="8"/>
    </row>
    <row r="294">
      <c r="AE294" s="8"/>
    </row>
    <row r="295">
      <c r="AE295" s="8"/>
    </row>
    <row r="296">
      <c r="AE296" s="8"/>
    </row>
    <row r="297">
      <c r="AE297" s="8"/>
    </row>
    <row r="298">
      <c r="AE298" s="8"/>
    </row>
    <row r="299">
      <c r="AE299" s="8"/>
    </row>
    <row r="300">
      <c r="AE300" s="8"/>
    </row>
    <row r="301">
      <c r="AE301" s="8"/>
    </row>
    <row r="302">
      <c r="AE302" s="8"/>
    </row>
    <row r="303">
      <c r="AE303" s="8"/>
    </row>
    <row r="304">
      <c r="AE304" s="8"/>
    </row>
    <row r="305">
      <c r="AE305" s="8"/>
    </row>
    <row r="306">
      <c r="AE306" s="8"/>
    </row>
    <row r="307">
      <c r="AE307" s="8"/>
    </row>
    <row r="308">
      <c r="AE308" s="8"/>
    </row>
    <row r="309">
      <c r="AE309" s="8"/>
    </row>
    <row r="310">
      <c r="AE310" s="8"/>
    </row>
    <row r="311">
      <c r="AE311" s="8"/>
    </row>
    <row r="312">
      <c r="AE312" s="8"/>
    </row>
    <row r="313">
      <c r="AE313" s="8"/>
    </row>
    <row r="314">
      <c r="AE314" s="8"/>
    </row>
    <row r="315">
      <c r="AE315" s="8"/>
    </row>
    <row r="316">
      <c r="AE316" s="8"/>
    </row>
    <row r="317">
      <c r="AE317" s="8"/>
    </row>
    <row r="318">
      <c r="AE318" s="8"/>
    </row>
    <row r="319">
      <c r="AE319" s="8"/>
    </row>
    <row r="320">
      <c r="AE320" s="8"/>
    </row>
    <row r="321">
      <c r="AE321" s="8"/>
    </row>
    <row r="322">
      <c r="AE322" s="8"/>
    </row>
    <row r="323">
      <c r="AE323" s="8"/>
    </row>
    <row r="324">
      <c r="AE324" s="8"/>
    </row>
    <row r="325">
      <c r="AE325" s="8"/>
    </row>
    <row r="326">
      <c r="AE326" s="8"/>
    </row>
    <row r="327">
      <c r="AE327" s="8"/>
    </row>
    <row r="328">
      <c r="AE328" s="8"/>
    </row>
    <row r="329">
      <c r="AE329" s="8"/>
    </row>
    <row r="330">
      <c r="AE330" s="8"/>
    </row>
    <row r="331">
      <c r="AE331" s="8"/>
    </row>
    <row r="332">
      <c r="AE332" s="8"/>
    </row>
    <row r="333">
      <c r="AE333" s="8"/>
    </row>
    <row r="334">
      <c r="AE334" s="8"/>
    </row>
    <row r="335">
      <c r="AE335" s="8"/>
    </row>
    <row r="336">
      <c r="AE336" s="8"/>
    </row>
    <row r="337">
      <c r="AE337" s="8"/>
    </row>
    <row r="338">
      <c r="AE338" s="8"/>
    </row>
    <row r="339">
      <c r="AE339" s="8"/>
    </row>
    <row r="340">
      <c r="AE340" s="8"/>
    </row>
    <row r="341">
      <c r="AE341" s="8"/>
    </row>
    <row r="342">
      <c r="AE342" s="8"/>
    </row>
    <row r="343">
      <c r="AE343" s="8"/>
    </row>
    <row r="344">
      <c r="AE344" s="8"/>
    </row>
    <row r="345">
      <c r="AE345" s="8"/>
    </row>
    <row r="346">
      <c r="AE346" s="8"/>
    </row>
    <row r="347">
      <c r="AE347" s="8"/>
    </row>
    <row r="348">
      <c r="AE348" s="8"/>
    </row>
    <row r="349">
      <c r="AE349" s="8"/>
    </row>
    <row r="350">
      <c r="AE350" s="8"/>
    </row>
    <row r="351">
      <c r="AE351" s="8"/>
    </row>
    <row r="352">
      <c r="AE352" s="8"/>
    </row>
    <row r="353">
      <c r="AE353" s="8"/>
    </row>
    <row r="354">
      <c r="AE354" s="8"/>
    </row>
    <row r="355">
      <c r="AE355" s="8"/>
    </row>
    <row r="356">
      <c r="AE356" s="8"/>
    </row>
    <row r="357">
      <c r="AE357" s="8"/>
    </row>
    <row r="358">
      <c r="AE358" s="8"/>
    </row>
    <row r="359">
      <c r="AE359" s="8"/>
    </row>
    <row r="360">
      <c r="AE360" s="8"/>
    </row>
    <row r="361">
      <c r="AE361" s="8"/>
    </row>
    <row r="362">
      <c r="AE362" s="8"/>
    </row>
    <row r="363">
      <c r="AE363" s="8"/>
    </row>
    <row r="364">
      <c r="AE364" s="8"/>
    </row>
    <row r="365">
      <c r="AE365" s="8"/>
    </row>
    <row r="366">
      <c r="AE366" s="8"/>
    </row>
    <row r="367">
      <c r="AE367" s="8"/>
    </row>
    <row r="368">
      <c r="AE368" s="8"/>
    </row>
    <row r="369">
      <c r="AE369" s="8"/>
    </row>
    <row r="370">
      <c r="AE370" s="8"/>
    </row>
    <row r="371">
      <c r="AE371" s="8"/>
    </row>
    <row r="372">
      <c r="AE372" s="8"/>
    </row>
    <row r="373">
      <c r="AE373" s="8"/>
    </row>
    <row r="374">
      <c r="AE374" s="8"/>
    </row>
    <row r="375">
      <c r="AE375" s="8"/>
    </row>
    <row r="376">
      <c r="AE376" s="8"/>
    </row>
    <row r="377">
      <c r="AE377" s="8"/>
    </row>
    <row r="378">
      <c r="AE378" s="8"/>
    </row>
    <row r="379">
      <c r="AE379" s="8"/>
    </row>
    <row r="380">
      <c r="AE380" s="8"/>
    </row>
    <row r="381">
      <c r="AE381" s="8"/>
    </row>
    <row r="382">
      <c r="AE382" s="8"/>
    </row>
    <row r="383">
      <c r="AE383" s="8"/>
    </row>
    <row r="384">
      <c r="AE384" s="8"/>
    </row>
    <row r="385">
      <c r="AE385" s="8"/>
    </row>
    <row r="386">
      <c r="AE386" s="8"/>
    </row>
    <row r="387">
      <c r="AE387" s="8"/>
    </row>
    <row r="388">
      <c r="AE388" s="8"/>
    </row>
    <row r="389">
      <c r="AE389" s="8"/>
    </row>
    <row r="390">
      <c r="AE390" s="8"/>
    </row>
    <row r="391">
      <c r="AE391" s="8"/>
    </row>
    <row r="392">
      <c r="AE392" s="8"/>
    </row>
    <row r="393">
      <c r="AE393" s="8"/>
    </row>
    <row r="394">
      <c r="AE394" s="8"/>
    </row>
    <row r="395">
      <c r="AE395" s="8"/>
    </row>
    <row r="396">
      <c r="AE396" s="8"/>
    </row>
    <row r="397">
      <c r="AE397" s="8"/>
    </row>
    <row r="398">
      <c r="AE398" s="8"/>
    </row>
    <row r="399">
      <c r="AE399" s="8"/>
    </row>
    <row r="400">
      <c r="AE400" s="8"/>
    </row>
    <row r="401">
      <c r="AE401" s="8"/>
    </row>
    <row r="402">
      <c r="AE402" s="8"/>
    </row>
    <row r="403">
      <c r="AE403" s="8"/>
    </row>
    <row r="404">
      <c r="AE404" s="8"/>
    </row>
    <row r="405">
      <c r="AE405" s="8"/>
    </row>
    <row r="406">
      <c r="AE406" s="8"/>
    </row>
    <row r="407">
      <c r="AE407" s="8"/>
    </row>
    <row r="408">
      <c r="AE408" s="8"/>
    </row>
    <row r="409">
      <c r="AE409" s="8"/>
    </row>
    <row r="410">
      <c r="AE410" s="8"/>
    </row>
    <row r="411">
      <c r="AE411" s="8"/>
    </row>
    <row r="412">
      <c r="AE412" s="8"/>
    </row>
    <row r="413">
      <c r="AE413" s="8"/>
    </row>
    <row r="414">
      <c r="AE414" s="8"/>
    </row>
    <row r="415">
      <c r="AE415" s="8"/>
    </row>
    <row r="416">
      <c r="AE416" s="8"/>
    </row>
    <row r="417">
      <c r="AE417" s="8"/>
    </row>
    <row r="418">
      <c r="AE418" s="8"/>
    </row>
    <row r="419">
      <c r="AE419" s="8"/>
    </row>
    <row r="420">
      <c r="AE420" s="8"/>
    </row>
    <row r="421">
      <c r="AE421" s="8"/>
    </row>
    <row r="422">
      <c r="AE422" s="8"/>
    </row>
    <row r="423">
      <c r="AE423" s="8"/>
    </row>
    <row r="424">
      <c r="AE424" s="8"/>
    </row>
    <row r="425">
      <c r="AE425" s="8"/>
    </row>
    <row r="426">
      <c r="AE426" s="8"/>
    </row>
    <row r="427">
      <c r="AE427" s="8"/>
    </row>
    <row r="428">
      <c r="AE428" s="8"/>
    </row>
    <row r="429">
      <c r="AE429" s="8"/>
    </row>
    <row r="430">
      <c r="AE430" s="8"/>
    </row>
    <row r="431">
      <c r="AE431" s="8"/>
    </row>
    <row r="432">
      <c r="AE432" s="8"/>
    </row>
    <row r="433">
      <c r="AE433" s="8"/>
    </row>
    <row r="434">
      <c r="AE434" s="8"/>
    </row>
    <row r="435">
      <c r="AE435" s="8"/>
    </row>
    <row r="436">
      <c r="AE436" s="8"/>
    </row>
    <row r="437">
      <c r="AE437" s="8"/>
    </row>
    <row r="438">
      <c r="AE438" s="8"/>
    </row>
    <row r="439">
      <c r="AE439" s="8"/>
    </row>
    <row r="440">
      <c r="AE440" s="8"/>
    </row>
    <row r="441">
      <c r="AE441" s="8"/>
    </row>
    <row r="442">
      <c r="AE442" s="8"/>
    </row>
    <row r="443">
      <c r="AE443" s="8"/>
    </row>
    <row r="444">
      <c r="AE444" s="8"/>
    </row>
    <row r="445">
      <c r="AE445" s="8"/>
    </row>
    <row r="446">
      <c r="AE446" s="8"/>
    </row>
    <row r="447">
      <c r="AE447" s="8"/>
    </row>
    <row r="448">
      <c r="AE448" s="8"/>
    </row>
    <row r="449">
      <c r="AE449" s="8"/>
    </row>
    <row r="450">
      <c r="AE450" s="8"/>
    </row>
    <row r="451">
      <c r="AE451" s="8"/>
    </row>
    <row r="452">
      <c r="AE452" s="8"/>
    </row>
    <row r="453">
      <c r="AE453" s="8"/>
    </row>
    <row r="454">
      <c r="AE454" s="8"/>
    </row>
    <row r="455">
      <c r="AE455" s="8"/>
    </row>
    <row r="456">
      <c r="AE456" s="8"/>
    </row>
    <row r="457">
      <c r="AE457" s="8"/>
    </row>
    <row r="458">
      <c r="AE458" s="8"/>
    </row>
    <row r="459">
      <c r="AE459" s="8"/>
    </row>
    <row r="460">
      <c r="AE460" s="8"/>
    </row>
    <row r="461">
      <c r="AE461" s="8"/>
    </row>
    <row r="462">
      <c r="AE462" s="8"/>
    </row>
    <row r="463">
      <c r="AE463" s="8"/>
    </row>
    <row r="464">
      <c r="AE464" s="8"/>
    </row>
    <row r="465">
      <c r="AE465" s="8"/>
    </row>
    <row r="466">
      <c r="AE466" s="8"/>
    </row>
    <row r="467">
      <c r="AE467" s="8"/>
    </row>
    <row r="468">
      <c r="AE468" s="8"/>
    </row>
    <row r="469">
      <c r="AE469" s="8"/>
    </row>
    <row r="470">
      <c r="AE470" s="8"/>
    </row>
    <row r="471">
      <c r="AE471" s="8"/>
    </row>
    <row r="472">
      <c r="AE472" s="8"/>
    </row>
    <row r="473">
      <c r="AE473" s="8"/>
    </row>
    <row r="474">
      <c r="AE474" s="8"/>
    </row>
    <row r="475">
      <c r="AE475" s="8"/>
    </row>
    <row r="476">
      <c r="AE476" s="8"/>
    </row>
    <row r="477">
      <c r="AE477" s="8"/>
    </row>
    <row r="478">
      <c r="AE478" s="8"/>
    </row>
    <row r="479">
      <c r="AE479" s="8"/>
    </row>
    <row r="480">
      <c r="AE480" s="8"/>
    </row>
    <row r="481">
      <c r="AE481" s="8"/>
    </row>
    <row r="482">
      <c r="AE482" s="8"/>
    </row>
    <row r="483">
      <c r="AE483" s="8"/>
    </row>
    <row r="484">
      <c r="AE484" s="8"/>
    </row>
    <row r="485">
      <c r="AE485" s="8"/>
    </row>
    <row r="486">
      <c r="AE486" s="8"/>
    </row>
    <row r="487">
      <c r="AE487" s="8"/>
    </row>
    <row r="488">
      <c r="AE488" s="8"/>
    </row>
    <row r="489">
      <c r="AE489" s="8"/>
    </row>
    <row r="490">
      <c r="AE490" s="8"/>
    </row>
    <row r="491">
      <c r="AE491" s="8"/>
    </row>
    <row r="492">
      <c r="AE492" s="8"/>
    </row>
    <row r="493">
      <c r="AE493" s="8"/>
    </row>
    <row r="494">
      <c r="AE494" s="8"/>
    </row>
    <row r="495">
      <c r="AE495" s="8"/>
    </row>
    <row r="496">
      <c r="AE496" s="8"/>
    </row>
    <row r="497">
      <c r="AE497" s="8"/>
    </row>
    <row r="498">
      <c r="AE498" s="8"/>
    </row>
    <row r="499">
      <c r="AE499" s="8"/>
    </row>
    <row r="500">
      <c r="AE500" s="8"/>
    </row>
    <row r="501">
      <c r="AE501" s="8"/>
    </row>
    <row r="502">
      <c r="AE502" s="8"/>
    </row>
    <row r="503">
      <c r="AE503" s="8"/>
    </row>
    <row r="504">
      <c r="AE504" s="8"/>
    </row>
    <row r="505">
      <c r="AE505" s="8"/>
    </row>
    <row r="506">
      <c r="AE506" s="8"/>
    </row>
    <row r="507">
      <c r="AE507" s="8"/>
    </row>
    <row r="508">
      <c r="AE508" s="8"/>
    </row>
    <row r="509">
      <c r="AE509" s="8"/>
    </row>
    <row r="510">
      <c r="AE510" s="8"/>
    </row>
    <row r="511">
      <c r="AE511" s="8"/>
    </row>
    <row r="512">
      <c r="AE512" s="8"/>
    </row>
    <row r="513">
      <c r="AE513" s="8"/>
    </row>
    <row r="514">
      <c r="AE514" s="8"/>
    </row>
    <row r="515">
      <c r="AE515" s="8"/>
    </row>
    <row r="516">
      <c r="AE516" s="8"/>
    </row>
    <row r="517">
      <c r="AE517" s="8"/>
    </row>
    <row r="518">
      <c r="AE518" s="8"/>
    </row>
    <row r="519">
      <c r="AE519" s="8"/>
    </row>
    <row r="520">
      <c r="AE520" s="8"/>
    </row>
    <row r="521">
      <c r="AE521" s="8"/>
    </row>
    <row r="522">
      <c r="AE522" s="8"/>
    </row>
    <row r="523">
      <c r="AE523" s="8"/>
    </row>
    <row r="524">
      <c r="AE524" s="8"/>
    </row>
    <row r="525">
      <c r="AE525" s="8"/>
    </row>
    <row r="526">
      <c r="AE526" s="8"/>
    </row>
    <row r="527">
      <c r="AE527" s="8"/>
    </row>
    <row r="528">
      <c r="AE528" s="8"/>
    </row>
    <row r="529">
      <c r="AE529" s="8"/>
    </row>
    <row r="530">
      <c r="AE530" s="8"/>
    </row>
    <row r="531">
      <c r="AE531" s="8"/>
    </row>
    <row r="532">
      <c r="AE532" s="8"/>
    </row>
    <row r="533">
      <c r="AE533" s="8"/>
    </row>
    <row r="534">
      <c r="AE534" s="8"/>
    </row>
    <row r="535">
      <c r="AE535" s="8"/>
    </row>
    <row r="536">
      <c r="AE536" s="8"/>
    </row>
    <row r="537">
      <c r="AE537" s="8"/>
    </row>
    <row r="538">
      <c r="AE538" s="8"/>
    </row>
    <row r="539">
      <c r="AE539" s="8"/>
    </row>
    <row r="540">
      <c r="AE540" s="8"/>
    </row>
    <row r="541">
      <c r="AE541" s="8"/>
    </row>
    <row r="542">
      <c r="AE542" s="8"/>
    </row>
    <row r="543">
      <c r="AE543" s="8"/>
    </row>
    <row r="544">
      <c r="AE544" s="8"/>
    </row>
    <row r="545">
      <c r="AE545" s="8"/>
    </row>
    <row r="546">
      <c r="AE546" s="8"/>
    </row>
    <row r="547">
      <c r="AE547" s="8"/>
    </row>
    <row r="548">
      <c r="AE548" s="8"/>
    </row>
    <row r="549">
      <c r="AE549" s="8"/>
    </row>
    <row r="550">
      <c r="AE550" s="8"/>
    </row>
    <row r="551">
      <c r="AE551" s="8"/>
    </row>
    <row r="552">
      <c r="AE552" s="8"/>
    </row>
    <row r="553">
      <c r="AE553" s="8"/>
    </row>
    <row r="554">
      <c r="AE554" s="8"/>
    </row>
    <row r="555">
      <c r="AE555" s="8"/>
    </row>
    <row r="556">
      <c r="AE556" s="8"/>
    </row>
    <row r="557">
      <c r="AE557" s="8"/>
    </row>
    <row r="558">
      <c r="AE558" s="8"/>
    </row>
    <row r="559">
      <c r="AE559" s="8"/>
    </row>
    <row r="560">
      <c r="AE560" s="8"/>
    </row>
    <row r="561">
      <c r="AE561" s="8"/>
    </row>
    <row r="562">
      <c r="AE562" s="8"/>
    </row>
    <row r="563">
      <c r="AE563" s="8"/>
    </row>
    <row r="564">
      <c r="AE564" s="8"/>
    </row>
    <row r="565">
      <c r="AE565" s="8"/>
    </row>
    <row r="566">
      <c r="AE566" s="8"/>
    </row>
    <row r="567">
      <c r="AE567" s="8"/>
    </row>
    <row r="568">
      <c r="AE568" s="8"/>
    </row>
    <row r="569">
      <c r="AE569" s="8"/>
    </row>
    <row r="570">
      <c r="AE570" s="8"/>
    </row>
    <row r="571">
      <c r="AE571" s="8"/>
    </row>
    <row r="572">
      <c r="AE572" s="8"/>
    </row>
    <row r="573">
      <c r="AE573" s="8"/>
    </row>
    <row r="574">
      <c r="AE574" s="8"/>
    </row>
    <row r="575">
      <c r="AE575" s="8"/>
    </row>
    <row r="576">
      <c r="AE576" s="8"/>
    </row>
    <row r="577">
      <c r="AE577" s="8"/>
    </row>
    <row r="578">
      <c r="AE578" s="8"/>
    </row>
    <row r="579">
      <c r="AE579" s="8"/>
    </row>
    <row r="580">
      <c r="AE580" s="8"/>
    </row>
    <row r="581">
      <c r="AE581" s="8"/>
    </row>
    <row r="582">
      <c r="AE582" s="8"/>
    </row>
    <row r="583">
      <c r="AE583" s="8"/>
    </row>
    <row r="584">
      <c r="AE584" s="8"/>
    </row>
    <row r="585">
      <c r="AE585" s="8"/>
    </row>
    <row r="586">
      <c r="AE586" s="8"/>
    </row>
    <row r="587">
      <c r="AE587" s="8"/>
    </row>
    <row r="588">
      <c r="AE588" s="8"/>
    </row>
    <row r="589">
      <c r="AE589" s="8"/>
    </row>
    <row r="590">
      <c r="AE590" s="8"/>
    </row>
    <row r="591">
      <c r="AE591" s="8"/>
    </row>
    <row r="592">
      <c r="AE592" s="8"/>
    </row>
    <row r="593">
      <c r="AE593" s="8"/>
    </row>
    <row r="594">
      <c r="AE594" s="8"/>
    </row>
    <row r="595">
      <c r="AE595" s="8"/>
    </row>
    <row r="596">
      <c r="AE596" s="8"/>
    </row>
    <row r="597">
      <c r="AE597" s="8"/>
    </row>
    <row r="598">
      <c r="AE598" s="8"/>
    </row>
    <row r="599">
      <c r="AE599" s="8"/>
    </row>
    <row r="600">
      <c r="AE600" s="8"/>
    </row>
    <row r="601">
      <c r="AE601" s="8"/>
    </row>
    <row r="602">
      <c r="AE602" s="8"/>
    </row>
    <row r="603">
      <c r="AE603" s="8"/>
    </row>
    <row r="604">
      <c r="AE604" s="8"/>
    </row>
    <row r="605">
      <c r="AE605" s="8"/>
    </row>
    <row r="606">
      <c r="AE606" s="8"/>
    </row>
    <row r="607">
      <c r="AE607" s="8"/>
    </row>
    <row r="608">
      <c r="AE608" s="8"/>
    </row>
    <row r="609">
      <c r="AE609" s="8"/>
    </row>
    <row r="610">
      <c r="AE610" s="8"/>
    </row>
    <row r="611">
      <c r="AE611" s="8"/>
    </row>
    <row r="612">
      <c r="AE612" s="8"/>
    </row>
    <row r="613">
      <c r="AE613" s="8"/>
    </row>
    <row r="614">
      <c r="AE614" s="8"/>
    </row>
    <row r="615">
      <c r="AE615" s="8"/>
    </row>
    <row r="616">
      <c r="AE616" s="8"/>
    </row>
    <row r="617">
      <c r="AE617" s="8"/>
    </row>
    <row r="618">
      <c r="AE618" s="8"/>
    </row>
    <row r="619">
      <c r="AE619" s="8"/>
    </row>
    <row r="620">
      <c r="AE620" s="8"/>
    </row>
    <row r="621">
      <c r="AE621" s="8"/>
    </row>
    <row r="622">
      <c r="AE622" s="8"/>
    </row>
    <row r="623">
      <c r="AE623" s="8"/>
    </row>
    <row r="624">
      <c r="AE624" s="8"/>
    </row>
    <row r="625">
      <c r="AE625" s="8"/>
    </row>
    <row r="626">
      <c r="AE626" s="8"/>
    </row>
    <row r="627">
      <c r="AE627" s="8"/>
    </row>
    <row r="628">
      <c r="AE628" s="8"/>
    </row>
    <row r="629">
      <c r="AE629" s="8"/>
    </row>
    <row r="630">
      <c r="AE630" s="8"/>
    </row>
    <row r="631">
      <c r="AE631" s="8"/>
    </row>
    <row r="632">
      <c r="AE632" s="8"/>
    </row>
    <row r="633">
      <c r="AE633" s="8"/>
    </row>
    <row r="634">
      <c r="AE634" s="8"/>
    </row>
    <row r="635">
      <c r="AE635" s="8"/>
    </row>
    <row r="636">
      <c r="AE636" s="8"/>
    </row>
    <row r="637">
      <c r="AE637" s="8"/>
    </row>
    <row r="638">
      <c r="AE638" s="8"/>
    </row>
    <row r="639">
      <c r="AE639" s="8"/>
    </row>
    <row r="640">
      <c r="AE640" s="8"/>
    </row>
    <row r="641">
      <c r="AE641" s="8"/>
    </row>
    <row r="642">
      <c r="AE642" s="8"/>
    </row>
    <row r="643">
      <c r="AE643" s="8"/>
    </row>
    <row r="644">
      <c r="AE644" s="8"/>
    </row>
    <row r="645">
      <c r="AE645" s="8"/>
    </row>
    <row r="646">
      <c r="AE646" s="8"/>
    </row>
    <row r="647">
      <c r="AE647" s="8"/>
    </row>
    <row r="648">
      <c r="AE648" s="8"/>
    </row>
    <row r="649">
      <c r="AE649" s="8"/>
    </row>
    <row r="650">
      <c r="AE650" s="8"/>
    </row>
    <row r="651">
      <c r="AE651" s="8"/>
    </row>
    <row r="652">
      <c r="AE652" s="8"/>
    </row>
    <row r="653">
      <c r="AE653" s="8"/>
    </row>
    <row r="654">
      <c r="AE654" s="8"/>
    </row>
    <row r="655">
      <c r="AE655" s="8"/>
    </row>
    <row r="656">
      <c r="AE656" s="8"/>
    </row>
    <row r="657">
      <c r="AE657" s="8"/>
    </row>
    <row r="658">
      <c r="AE658" s="8"/>
    </row>
    <row r="659">
      <c r="AE659" s="8"/>
    </row>
    <row r="660">
      <c r="AE660" s="8"/>
    </row>
    <row r="661">
      <c r="AE661" s="8"/>
    </row>
    <row r="662">
      <c r="AE662" s="8"/>
    </row>
    <row r="663">
      <c r="AE663" s="8"/>
    </row>
    <row r="664">
      <c r="AE664" s="8"/>
    </row>
    <row r="665">
      <c r="AE665" s="8"/>
    </row>
    <row r="666">
      <c r="AE666" s="8"/>
    </row>
    <row r="667">
      <c r="AE667" s="8"/>
    </row>
    <row r="668">
      <c r="AE668" s="8"/>
    </row>
    <row r="669">
      <c r="AE669" s="8"/>
    </row>
    <row r="670">
      <c r="AE670" s="8"/>
    </row>
    <row r="671">
      <c r="AE671" s="8"/>
    </row>
    <row r="672">
      <c r="AE672" s="8"/>
    </row>
    <row r="673">
      <c r="AE673" s="8"/>
    </row>
    <row r="674">
      <c r="AE674" s="8"/>
    </row>
    <row r="675">
      <c r="AE675" s="8"/>
    </row>
    <row r="676">
      <c r="AE676" s="8"/>
    </row>
    <row r="677">
      <c r="AE677" s="8"/>
    </row>
    <row r="678">
      <c r="AE678" s="8"/>
    </row>
    <row r="679">
      <c r="AE679" s="8"/>
    </row>
    <row r="680">
      <c r="AE680" s="8"/>
    </row>
    <row r="681">
      <c r="AE681" s="8"/>
    </row>
    <row r="682">
      <c r="AE682" s="8"/>
    </row>
    <row r="683">
      <c r="AE683" s="8"/>
    </row>
    <row r="684">
      <c r="AE684" s="8"/>
    </row>
    <row r="685">
      <c r="AE685" s="8"/>
    </row>
    <row r="686">
      <c r="AE686" s="8"/>
    </row>
    <row r="687">
      <c r="AE687" s="8"/>
    </row>
    <row r="688">
      <c r="AE688" s="8"/>
    </row>
    <row r="689">
      <c r="AE689" s="8"/>
    </row>
    <row r="690">
      <c r="AE690" s="8"/>
    </row>
    <row r="691">
      <c r="AE691" s="8"/>
    </row>
    <row r="692">
      <c r="AE692" s="8"/>
    </row>
    <row r="693">
      <c r="AE693" s="8"/>
    </row>
    <row r="694">
      <c r="AE694" s="8"/>
    </row>
    <row r="695">
      <c r="AE695" s="8"/>
    </row>
    <row r="696">
      <c r="AE696" s="8"/>
    </row>
    <row r="697">
      <c r="AE697" s="8"/>
    </row>
    <row r="698">
      <c r="AE698" s="8"/>
    </row>
    <row r="699">
      <c r="AE699" s="8"/>
    </row>
    <row r="700">
      <c r="AE700" s="8"/>
    </row>
    <row r="701">
      <c r="AE701" s="8"/>
    </row>
    <row r="702">
      <c r="AE702" s="8"/>
    </row>
    <row r="703">
      <c r="AE703" s="8"/>
    </row>
    <row r="704">
      <c r="AE704" s="8"/>
    </row>
    <row r="705">
      <c r="AE705" s="8"/>
    </row>
    <row r="706">
      <c r="AE706" s="8"/>
    </row>
    <row r="707">
      <c r="AE707" s="8"/>
    </row>
    <row r="708">
      <c r="AE708" s="8"/>
    </row>
    <row r="709">
      <c r="AE709" s="8"/>
    </row>
    <row r="710">
      <c r="AE710" s="8"/>
    </row>
    <row r="711">
      <c r="AE711" s="8"/>
    </row>
    <row r="712">
      <c r="AE712" s="8"/>
    </row>
    <row r="713">
      <c r="AE713" s="8"/>
    </row>
    <row r="714">
      <c r="AE714" s="8"/>
    </row>
    <row r="715">
      <c r="AE715" s="8"/>
    </row>
    <row r="716">
      <c r="AE716" s="8"/>
    </row>
    <row r="717">
      <c r="AE717" s="8"/>
    </row>
    <row r="718">
      <c r="AE718" s="8"/>
    </row>
    <row r="719">
      <c r="AE719" s="8"/>
    </row>
    <row r="720">
      <c r="AE720" s="8"/>
    </row>
    <row r="721">
      <c r="AE721" s="8"/>
    </row>
    <row r="722">
      <c r="AE722" s="8"/>
    </row>
    <row r="723">
      <c r="AE723" s="8"/>
    </row>
    <row r="724">
      <c r="AE724" s="8"/>
    </row>
    <row r="725">
      <c r="AE725" s="8"/>
    </row>
    <row r="726">
      <c r="AE726" s="8"/>
    </row>
    <row r="727">
      <c r="AE727" s="8"/>
    </row>
    <row r="728">
      <c r="AE728" s="8"/>
    </row>
    <row r="729">
      <c r="AE729" s="8"/>
    </row>
    <row r="730">
      <c r="AE730" s="8"/>
    </row>
    <row r="731">
      <c r="AE731" s="8"/>
    </row>
    <row r="732">
      <c r="AE732" s="8"/>
    </row>
    <row r="733">
      <c r="AE733" s="8"/>
    </row>
    <row r="734">
      <c r="AE734" s="8"/>
    </row>
    <row r="735">
      <c r="AE735" s="8"/>
    </row>
    <row r="736">
      <c r="AE736" s="8"/>
    </row>
    <row r="737">
      <c r="AE737" s="8"/>
    </row>
    <row r="738">
      <c r="AE738" s="8"/>
    </row>
    <row r="739">
      <c r="AE739" s="8"/>
    </row>
    <row r="740">
      <c r="AE740" s="8"/>
    </row>
    <row r="741">
      <c r="AE741" s="8"/>
    </row>
    <row r="742">
      <c r="AE742" s="8"/>
    </row>
    <row r="743">
      <c r="AE743" s="8"/>
    </row>
    <row r="744">
      <c r="AE744" s="8"/>
    </row>
    <row r="745">
      <c r="AE745" s="8"/>
    </row>
    <row r="746">
      <c r="AE746" s="8"/>
    </row>
    <row r="747">
      <c r="AE747" s="8"/>
    </row>
    <row r="748">
      <c r="AE748" s="8"/>
    </row>
    <row r="749">
      <c r="AE749" s="8"/>
    </row>
    <row r="750">
      <c r="AE750" s="8"/>
    </row>
    <row r="751">
      <c r="AE751" s="8"/>
    </row>
    <row r="752">
      <c r="AE752" s="8"/>
    </row>
    <row r="753">
      <c r="AE753" s="8"/>
    </row>
    <row r="754">
      <c r="AE754" s="8"/>
    </row>
    <row r="755">
      <c r="AE755" s="8"/>
    </row>
    <row r="756">
      <c r="AE756" s="8"/>
    </row>
    <row r="757">
      <c r="AE757" s="8"/>
    </row>
    <row r="758">
      <c r="AE758" s="8"/>
    </row>
    <row r="759">
      <c r="AE759" s="8"/>
    </row>
    <row r="760">
      <c r="AE760" s="8"/>
    </row>
    <row r="761">
      <c r="AE761" s="8"/>
    </row>
    <row r="762">
      <c r="AE762" s="8"/>
    </row>
    <row r="763">
      <c r="AE763" s="8"/>
    </row>
    <row r="764">
      <c r="AE764" s="8"/>
    </row>
    <row r="765">
      <c r="AE765" s="8"/>
    </row>
    <row r="766">
      <c r="AE766" s="8"/>
    </row>
    <row r="767">
      <c r="AE767" s="8"/>
    </row>
    <row r="768">
      <c r="AE768" s="8"/>
    </row>
    <row r="769">
      <c r="AE769" s="8"/>
    </row>
    <row r="770">
      <c r="AE770" s="8"/>
    </row>
    <row r="771">
      <c r="AE771" s="8"/>
    </row>
    <row r="772">
      <c r="AE772" s="8"/>
    </row>
    <row r="773">
      <c r="AE773" s="8"/>
    </row>
    <row r="774">
      <c r="AE774" s="8"/>
    </row>
    <row r="775">
      <c r="AE775" s="8"/>
    </row>
    <row r="776">
      <c r="AE776" s="8"/>
    </row>
    <row r="777">
      <c r="AE777" s="8"/>
    </row>
    <row r="778">
      <c r="AE778" s="8"/>
    </row>
    <row r="779">
      <c r="AE779" s="8"/>
    </row>
    <row r="780">
      <c r="AE780" s="8"/>
    </row>
    <row r="781">
      <c r="AE781" s="8"/>
    </row>
    <row r="782">
      <c r="AE782" s="8"/>
    </row>
    <row r="783">
      <c r="AE783" s="8"/>
    </row>
    <row r="784">
      <c r="AE784" s="8"/>
    </row>
    <row r="785">
      <c r="AE785" s="8"/>
    </row>
    <row r="786">
      <c r="AE786" s="8"/>
    </row>
    <row r="787">
      <c r="AE787" s="8"/>
    </row>
    <row r="788">
      <c r="AE788" s="8"/>
    </row>
    <row r="789">
      <c r="AE789" s="8"/>
    </row>
    <row r="790">
      <c r="AE790" s="8"/>
    </row>
    <row r="791">
      <c r="AE791" s="8"/>
    </row>
    <row r="792">
      <c r="AE792" s="8"/>
    </row>
    <row r="793">
      <c r="AE793" s="8"/>
    </row>
    <row r="794">
      <c r="AE794" s="8"/>
    </row>
    <row r="795">
      <c r="AE795" s="8"/>
    </row>
    <row r="796">
      <c r="AE796" s="8"/>
    </row>
    <row r="797">
      <c r="AE797" s="8"/>
    </row>
    <row r="798">
      <c r="AE798" s="8"/>
    </row>
    <row r="799">
      <c r="AE799" s="8"/>
    </row>
    <row r="800">
      <c r="AE800" s="8"/>
    </row>
    <row r="801">
      <c r="AE801" s="8"/>
    </row>
    <row r="802">
      <c r="AE802" s="8"/>
    </row>
    <row r="803">
      <c r="AE803" s="8"/>
    </row>
    <row r="804">
      <c r="AE804" s="8"/>
    </row>
    <row r="805">
      <c r="AE805" s="8"/>
    </row>
    <row r="806">
      <c r="AE806" s="8"/>
    </row>
    <row r="807">
      <c r="AE807" s="8"/>
    </row>
    <row r="808">
      <c r="AE808" s="8"/>
    </row>
    <row r="809">
      <c r="AE809" s="8"/>
    </row>
    <row r="810">
      <c r="AE810" s="8"/>
    </row>
    <row r="811">
      <c r="AE811" s="8"/>
    </row>
    <row r="812">
      <c r="AE812" s="8"/>
    </row>
    <row r="813">
      <c r="AE813" s="8"/>
    </row>
    <row r="814">
      <c r="AE814" s="8"/>
    </row>
    <row r="815">
      <c r="AE815" s="8"/>
    </row>
    <row r="816">
      <c r="AE816" s="8"/>
    </row>
    <row r="817">
      <c r="AE817" s="8"/>
    </row>
    <row r="818">
      <c r="AE818" s="8"/>
    </row>
    <row r="819">
      <c r="AE819" s="8"/>
    </row>
    <row r="820">
      <c r="AE820" s="8"/>
    </row>
    <row r="821">
      <c r="AE821" s="8"/>
    </row>
    <row r="822">
      <c r="AE822" s="8"/>
    </row>
    <row r="823">
      <c r="AE823" s="8"/>
    </row>
    <row r="824">
      <c r="AE824" s="8"/>
    </row>
    <row r="825">
      <c r="AE825" s="8"/>
    </row>
    <row r="826">
      <c r="AE826" s="8"/>
    </row>
    <row r="827">
      <c r="AE827" s="8"/>
    </row>
    <row r="828">
      <c r="AE828" s="8"/>
    </row>
    <row r="829">
      <c r="AE829" s="8"/>
    </row>
    <row r="830">
      <c r="AE830" s="8"/>
    </row>
    <row r="831">
      <c r="AE831" s="8"/>
    </row>
    <row r="832">
      <c r="AE832" s="8"/>
    </row>
    <row r="833">
      <c r="AE833" s="8"/>
    </row>
    <row r="834">
      <c r="AE834" s="8"/>
    </row>
    <row r="835">
      <c r="AE835" s="8"/>
    </row>
    <row r="836">
      <c r="AE836" s="8"/>
    </row>
    <row r="837">
      <c r="AE837" s="8"/>
    </row>
    <row r="838">
      <c r="AE838" s="8"/>
    </row>
    <row r="839">
      <c r="AE839" s="8"/>
    </row>
    <row r="840">
      <c r="AE840" s="8"/>
    </row>
    <row r="841">
      <c r="AE841" s="8"/>
    </row>
    <row r="842">
      <c r="AE842" s="8"/>
    </row>
    <row r="843">
      <c r="AE843" s="8"/>
    </row>
    <row r="844">
      <c r="AE844" s="8"/>
    </row>
    <row r="845">
      <c r="AE845" s="8"/>
    </row>
    <row r="846">
      <c r="AE846" s="8"/>
    </row>
    <row r="847">
      <c r="AE847" s="8"/>
    </row>
    <row r="848">
      <c r="AE848" s="8"/>
    </row>
    <row r="849">
      <c r="AE849" s="8"/>
    </row>
    <row r="850">
      <c r="AE850" s="8"/>
    </row>
    <row r="851">
      <c r="AE851" s="8"/>
    </row>
    <row r="852">
      <c r="AE852" s="8"/>
    </row>
    <row r="853">
      <c r="AE853" s="8"/>
    </row>
    <row r="854">
      <c r="AE854" s="8"/>
    </row>
    <row r="855">
      <c r="AE855" s="8"/>
    </row>
    <row r="856">
      <c r="AE856" s="8"/>
    </row>
    <row r="857">
      <c r="AE857" s="8"/>
    </row>
    <row r="858">
      <c r="AE858" s="8"/>
    </row>
    <row r="859">
      <c r="AE859" s="8"/>
    </row>
    <row r="860">
      <c r="AE860" s="8"/>
    </row>
    <row r="861">
      <c r="AE861" s="8"/>
    </row>
    <row r="862">
      <c r="AE862" s="8"/>
    </row>
    <row r="863">
      <c r="AE863" s="8"/>
    </row>
    <row r="864">
      <c r="AE864" s="8"/>
    </row>
    <row r="865">
      <c r="AE865" s="8"/>
    </row>
    <row r="866">
      <c r="AE866" s="8"/>
    </row>
    <row r="867">
      <c r="AE867" s="8"/>
    </row>
    <row r="868">
      <c r="AE868" s="8"/>
    </row>
    <row r="869">
      <c r="AE869" s="8"/>
    </row>
    <row r="870">
      <c r="AE870" s="8"/>
    </row>
    <row r="871">
      <c r="AE871" s="8"/>
    </row>
    <row r="872">
      <c r="AE872" s="8"/>
    </row>
    <row r="873">
      <c r="AE873" s="8"/>
    </row>
    <row r="874">
      <c r="AE874" s="8"/>
    </row>
    <row r="875">
      <c r="AE875" s="8"/>
    </row>
    <row r="876">
      <c r="AE876" s="8"/>
    </row>
    <row r="877">
      <c r="AE877" s="8"/>
    </row>
    <row r="878">
      <c r="AE878" s="8"/>
    </row>
    <row r="879">
      <c r="AE879" s="8"/>
    </row>
    <row r="880">
      <c r="AE880" s="8"/>
    </row>
    <row r="881">
      <c r="AE881" s="8"/>
    </row>
    <row r="882">
      <c r="AE882" s="8"/>
    </row>
    <row r="883">
      <c r="AE883" s="8"/>
    </row>
    <row r="884">
      <c r="AE884" s="8"/>
    </row>
    <row r="885">
      <c r="AE885" s="8"/>
    </row>
    <row r="886">
      <c r="AE886" s="8"/>
    </row>
    <row r="887">
      <c r="AE887" s="8"/>
    </row>
    <row r="888">
      <c r="AE888" s="8"/>
    </row>
    <row r="889">
      <c r="AE889" s="8"/>
    </row>
    <row r="890">
      <c r="AE890" s="8"/>
    </row>
    <row r="891">
      <c r="AE891" s="8"/>
    </row>
    <row r="892">
      <c r="AE892" s="8"/>
    </row>
    <row r="893">
      <c r="AE893" s="8"/>
    </row>
    <row r="894">
      <c r="AE894" s="8"/>
    </row>
    <row r="895">
      <c r="AE895" s="8"/>
    </row>
    <row r="896">
      <c r="AE896" s="8"/>
    </row>
    <row r="897">
      <c r="AE897" s="8"/>
    </row>
    <row r="898">
      <c r="AE898" s="8"/>
    </row>
    <row r="899">
      <c r="AE899" s="8"/>
    </row>
    <row r="900">
      <c r="AE900" s="8"/>
    </row>
    <row r="901">
      <c r="AE901" s="8"/>
    </row>
    <row r="902">
      <c r="AE902" s="8"/>
    </row>
    <row r="903">
      <c r="AE903" s="8"/>
    </row>
    <row r="904">
      <c r="AE904" s="8"/>
    </row>
    <row r="905">
      <c r="AE905" s="8"/>
    </row>
    <row r="906">
      <c r="AE906" s="8"/>
    </row>
    <row r="907">
      <c r="AE907" s="8"/>
    </row>
    <row r="908">
      <c r="AE908" s="8"/>
    </row>
    <row r="909">
      <c r="AE909" s="8"/>
    </row>
    <row r="910">
      <c r="AE910" s="8"/>
    </row>
    <row r="911">
      <c r="AE911" s="8"/>
    </row>
    <row r="912">
      <c r="AE912" s="8"/>
    </row>
    <row r="913">
      <c r="AE913" s="8"/>
    </row>
    <row r="914">
      <c r="AE914" s="8"/>
    </row>
    <row r="915">
      <c r="AE915" s="8"/>
    </row>
    <row r="916">
      <c r="AE916" s="8"/>
    </row>
    <row r="917">
      <c r="AE917" s="8"/>
    </row>
    <row r="918">
      <c r="AE918" s="8"/>
    </row>
    <row r="919">
      <c r="AE919" s="8"/>
    </row>
    <row r="920">
      <c r="AE920" s="8"/>
    </row>
    <row r="921">
      <c r="AE921" s="8"/>
    </row>
    <row r="922">
      <c r="AE922" s="8"/>
    </row>
    <row r="923">
      <c r="AE923" s="8"/>
    </row>
    <row r="924">
      <c r="AE924" s="8"/>
    </row>
    <row r="925">
      <c r="AE925" s="8"/>
    </row>
    <row r="926">
      <c r="AE926" s="8"/>
    </row>
    <row r="927">
      <c r="AE927" s="8"/>
    </row>
    <row r="928">
      <c r="AE928" s="8"/>
    </row>
    <row r="929">
      <c r="AE929" s="8"/>
    </row>
    <row r="930">
      <c r="AE930" s="8"/>
    </row>
    <row r="931">
      <c r="AE931" s="8"/>
    </row>
    <row r="932">
      <c r="AE932" s="8"/>
    </row>
    <row r="933">
      <c r="AE933" s="8"/>
    </row>
    <row r="934">
      <c r="AE934" s="8"/>
    </row>
    <row r="935">
      <c r="AE935" s="8"/>
    </row>
    <row r="936">
      <c r="AE936" s="8"/>
    </row>
    <row r="937">
      <c r="AE937" s="8"/>
    </row>
    <row r="938">
      <c r="AE938" s="8"/>
    </row>
    <row r="939">
      <c r="AE939" s="8"/>
    </row>
    <row r="940">
      <c r="AE940" s="8"/>
    </row>
    <row r="941">
      <c r="AE941" s="8"/>
    </row>
    <row r="942">
      <c r="AE942" s="8"/>
    </row>
    <row r="943">
      <c r="AE943" s="8"/>
    </row>
    <row r="944">
      <c r="AE944" s="8"/>
    </row>
    <row r="945">
      <c r="AE945" s="8"/>
    </row>
    <row r="946">
      <c r="AE946" s="8"/>
    </row>
    <row r="947">
      <c r="AE947" s="8"/>
    </row>
    <row r="948">
      <c r="AE948" s="8"/>
    </row>
    <row r="949">
      <c r="AE949" s="8"/>
    </row>
    <row r="950">
      <c r="AE950" s="8"/>
    </row>
    <row r="951">
      <c r="AE951" s="8"/>
    </row>
    <row r="952">
      <c r="AE952" s="8"/>
    </row>
    <row r="953">
      <c r="AE953" s="8"/>
    </row>
    <row r="954">
      <c r="AE954" s="8"/>
    </row>
    <row r="955">
      <c r="AE955" s="8"/>
    </row>
    <row r="956">
      <c r="AE956" s="8"/>
    </row>
    <row r="957">
      <c r="AE957" s="8"/>
    </row>
    <row r="958">
      <c r="AE958" s="8"/>
    </row>
    <row r="959">
      <c r="AE959" s="8"/>
    </row>
    <row r="960">
      <c r="AE960" s="8"/>
    </row>
    <row r="961">
      <c r="AE961" s="8"/>
    </row>
    <row r="962">
      <c r="AE962" s="8"/>
    </row>
    <row r="963">
      <c r="AE963" s="8"/>
    </row>
    <row r="964">
      <c r="AE964" s="8"/>
    </row>
    <row r="965">
      <c r="AE965" s="8"/>
    </row>
    <row r="966">
      <c r="AE966" s="8"/>
    </row>
    <row r="967">
      <c r="AE967" s="8"/>
    </row>
    <row r="968">
      <c r="AE968" s="8"/>
    </row>
    <row r="969">
      <c r="AE969" s="8"/>
    </row>
    <row r="970">
      <c r="AE970" s="8"/>
    </row>
    <row r="971">
      <c r="AE971" s="8"/>
    </row>
    <row r="972">
      <c r="AE972" s="8"/>
    </row>
    <row r="973">
      <c r="AE973" s="8"/>
    </row>
    <row r="974">
      <c r="AE974" s="8"/>
    </row>
    <row r="975">
      <c r="AE975" s="8"/>
    </row>
    <row r="976">
      <c r="AE976" s="8"/>
    </row>
    <row r="977">
      <c r="AE977" s="8"/>
    </row>
    <row r="978">
      <c r="AE978" s="8"/>
    </row>
    <row r="979">
      <c r="AE979" s="8"/>
    </row>
    <row r="980">
      <c r="AE980" s="8"/>
    </row>
    <row r="981">
      <c r="AE981" s="8"/>
    </row>
    <row r="982">
      <c r="AE982" s="8"/>
    </row>
    <row r="983">
      <c r="AE983" s="8"/>
    </row>
    <row r="984">
      <c r="AE984" s="8"/>
    </row>
    <row r="985">
      <c r="AE985" s="8"/>
    </row>
    <row r="986">
      <c r="AE986" s="8"/>
    </row>
    <row r="987">
      <c r="AE987" s="8"/>
    </row>
    <row r="988">
      <c r="AE988" s="8"/>
    </row>
    <row r="989">
      <c r="AE989" s="8"/>
    </row>
    <row r="990">
      <c r="AE990" s="8"/>
    </row>
    <row r="991">
      <c r="AE991" s="8"/>
    </row>
    <row r="992">
      <c r="AE992" s="8"/>
    </row>
    <row r="993">
      <c r="AE993" s="8"/>
    </row>
    <row r="994">
      <c r="AE994" s="8"/>
    </row>
    <row r="995">
      <c r="AE995" s="8"/>
    </row>
    <row r="996">
      <c r="AE996" s="8"/>
    </row>
    <row r="997">
      <c r="AE997" s="8"/>
    </row>
    <row r="998">
      <c r="AE998" s="8"/>
    </row>
    <row r="999">
      <c r="AE999" s="8"/>
    </row>
    <row r="1000">
      <c r="AE1000" s="8"/>
    </row>
  </sheetData>
  <autoFilter ref="$A$1:$AL$160"/>
  <mergeCells count="23">
    <mergeCell ref="H6:I6"/>
    <mergeCell ref="H8:I8"/>
    <mergeCell ref="H12:I12"/>
    <mergeCell ref="H13:I13"/>
    <mergeCell ref="H28:I28"/>
    <mergeCell ref="H29:I29"/>
    <mergeCell ref="M36:N36"/>
    <mergeCell ref="M37:N37"/>
    <mergeCell ref="M48:N48"/>
    <mergeCell ref="M49:N49"/>
    <mergeCell ref="T85:U85"/>
    <mergeCell ref="T86:U86"/>
    <mergeCell ref="T87:U87"/>
    <mergeCell ref="T88:U88"/>
    <mergeCell ref="M105:N105"/>
    <mergeCell ref="M112:N112"/>
    <mergeCell ref="T89:U89"/>
    <mergeCell ref="T90:U90"/>
    <mergeCell ref="L99:M99"/>
    <mergeCell ref="L100:M100"/>
    <mergeCell ref="L101:M101"/>
    <mergeCell ref="H102:I102"/>
    <mergeCell ref="H103:I10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6.5"/>
    <col customWidth="1" min="3" max="3" width="29.0"/>
    <col customWidth="1" min="4" max="4" width="11.13"/>
    <col customWidth="1" min="5" max="5" width="20.63"/>
    <col customWidth="1" min="6" max="6" width="13.5"/>
    <col customWidth="1" min="7" max="7" width="12.25"/>
    <col customWidth="1" min="8" max="8" width="12.13"/>
    <col customWidth="1" min="9" max="9" width="15.88"/>
    <col customWidth="1" min="10" max="10" width="38.38"/>
    <col customWidth="1" min="11" max="11" width="22.88"/>
    <col customWidth="1" min="12" max="12" width="20.25"/>
    <col customWidth="1" min="13" max="13" width="21.38"/>
    <col customWidth="1" min="14" max="14" width="11.5"/>
    <col customWidth="1" min="15" max="15" width="9.38"/>
    <col customWidth="1" min="16" max="16" width="9.88"/>
    <col customWidth="1" min="17" max="17" width="6.5"/>
    <col customWidth="1" min="18" max="18" width="8.88"/>
  </cols>
  <sheetData>
    <row r="1">
      <c r="A1" s="1" t="s">
        <v>625</v>
      </c>
      <c r="B1" s="1" t="s">
        <v>626</v>
      </c>
      <c r="C1" s="1" t="s">
        <v>627</v>
      </c>
      <c r="D1" s="1" t="s">
        <v>628</v>
      </c>
      <c r="E1" s="1" t="s">
        <v>19</v>
      </c>
      <c r="F1" s="1" t="s">
        <v>8</v>
      </c>
      <c r="G1" s="1" t="s">
        <v>629</v>
      </c>
      <c r="H1" s="1" t="s">
        <v>630</v>
      </c>
      <c r="I1" s="1" t="s">
        <v>631</v>
      </c>
      <c r="J1" s="1" t="s">
        <v>632</v>
      </c>
      <c r="K1" s="1" t="s">
        <v>633</v>
      </c>
      <c r="L1" s="1" t="s">
        <v>634</v>
      </c>
      <c r="M1" s="1" t="s">
        <v>635</v>
      </c>
      <c r="N1" s="1" t="s">
        <v>636</v>
      </c>
      <c r="O1" s="1" t="s">
        <v>33</v>
      </c>
      <c r="P1" s="1" t="s">
        <v>34</v>
      </c>
      <c r="Q1" s="1" t="s">
        <v>35</v>
      </c>
      <c r="R1" s="1" t="s">
        <v>36</v>
      </c>
    </row>
    <row r="2">
      <c r="A2" s="3">
        <v>72969.0</v>
      </c>
      <c r="B2" s="1" t="s">
        <v>637</v>
      </c>
      <c r="C2" s="1" t="s">
        <v>638</v>
      </c>
      <c r="D2" s="3">
        <v>9.831123506E9</v>
      </c>
      <c r="E2" s="1" t="s">
        <v>235</v>
      </c>
      <c r="F2" s="1" t="s">
        <v>43</v>
      </c>
      <c r="G2" s="9" t="s">
        <v>639</v>
      </c>
      <c r="H2" s="9" t="s">
        <v>639</v>
      </c>
      <c r="I2" s="3">
        <v>40110.0</v>
      </c>
      <c r="J2" s="1" t="s">
        <v>640</v>
      </c>
      <c r="K2" s="1" t="s">
        <v>641</v>
      </c>
      <c r="L2" s="3">
        <v>1.0</v>
      </c>
      <c r="M2" s="7"/>
      <c r="N2" s="7"/>
      <c r="O2" s="7"/>
      <c r="P2" s="7"/>
      <c r="Q2" s="7"/>
      <c r="R2" s="7"/>
    </row>
    <row r="3">
      <c r="A3" s="3">
        <v>89118.0</v>
      </c>
      <c r="B3" s="1" t="s">
        <v>291</v>
      </c>
      <c r="C3" s="1" t="s">
        <v>296</v>
      </c>
      <c r="D3" s="3">
        <v>8.652320276E9</v>
      </c>
      <c r="E3" s="1" t="s">
        <v>90</v>
      </c>
      <c r="F3" s="1" t="s">
        <v>43</v>
      </c>
      <c r="G3" s="9" t="s">
        <v>639</v>
      </c>
      <c r="H3" s="9" t="s">
        <v>639</v>
      </c>
      <c r="I3" s="3">
        <v>40217.0</v>
      </c>
      <c r="J3" s="1" t="s">
        <v>642</v>
      </c>
      <c r="K3" s="1" t="s">
        <v>643</v>
      </c>
      <c r="L3" s="3">
        <v>1.0</v>
      </c>
      <c r="M3" s="7"/>
      <c r="N3" s="7"/>
      <c r="O3" s="7"/>
      <c r="P3" s="7"/>
      <c r="Q3" s="7"/>
      <c r="R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</cols>
  <sheetData>
    <row r="1">
      <c r="A1" s="1" t="s">
        <v>644</v>
      </c>
      <c r="B1" s="1" t="s">
        <v>626</v>
      </c>
      <c r="C1" s="1" t="s">
        <v>627</v>
      </c>
      <c r="D1" s="1" t="s">
        <v>628</v>
      </c>
      <c r="E1" s="1" t="s">
        <v>645</v>
      </c>
      <c r="F1" s="1" t="s">
        <v>26</v>
      </c>
      <c r="G1" s="1" t="s">
        <v>27</v>
      </c>
      <c r="H1" s="1" t="s">
        <v>19</v>
      </c>
      <c r="I1" s="1" t="s">
        <v>18</v>
      </c>
      <c r="J1" s="1" t="s">
        <v>646</v>
      </c>
      <c r="K1" s="1" t="s">
        <v>647</v>
      </c>
      <c r="L1" s="1" t="s">
        <v>648</v>
      </c>
      <c r="M1" s="1" t="s">
        <v>649</v>
      </c>
      <c r="N1" s="1" t="s">
        <v>650</v>
      </c>
      <c r="O1" s="1" t="s">
        <v>651</v>
      </c>
      <c r="P1" s="1" t="s">
        <v>652</v>
      </c>
      <c r="Q1" s="1" t="s">
        <v>653</v>
      </c>
      <c r="R1" s="1" t="s">
        <v>654</v>
      </c>
      <c r="S1" s="1" t="s">
        <v>655</v>
      </c>
      <c r="T1" s="1" t="s">
        <v>656</v>
      </c>
      <c r="U1" s="1" t="s">
        <v>657</v>
      </c>
      <c r="V1" s="1" t="s">
        <v>658</v>
      </c>
    </row>
    <row r="2">
      <c r="A2" s="1" t="s">
        <v>659</v>
      </c>
      <c r="B2" s="1" t="s">
        <v>660</v>
      </c>
      <c r="C2" s="1" t="s">
        <v>661</v>
      </c>
      <c r="D2" s="3">
        <v>7.411113087E9</v>
      </c>
      <c r="E2" s="1" t="s">
        <v>41</v>
      </c>
      <c r="F2" s="3">
        <v>7.0</v>
      </c>
      <c r="G2" s="1" t="s">
        <v>188</v>
      </c>
      <c r="H2" s="1" t="s">
        <v>186</v>
      </c>
      <c r="I2" s="1" t="s">
        <v>185</v>
      </c>
      <c r="J2" s="1" t="s">
        <v>660</v>
      </c>
      <c r="K2" s="3">
        <v>32032.0</v>
      </c>
      <c r="L2" s="3">
        <v>40231.0</v>
      </c>
      <c r="M2" s="3">
        <v>656.0</v>
      </c>
      <c r="N2" s="4">
        <v>46120.68167824074</v>
      </c>
      <c r="O2" s="3">
        <v>656.0</v>
      </c>
      <c r="P2" s="4">
        <v>46121.461018518516</v>
      </c>
      <c r="Q2" s="3">
        <v>656.0</v>
      </c>
      <c r="R2" s="4">
        <v>46120.68167824074</v>
      </c>
      <c r="T2" s="1" t="s">
        <v>662</v>
      </c>
      <c r="U2" s="6">
        <v>46269.0</v>
      </c>
      <c r="V2" s="1" t="s">
        <v>43</v>
      </c>
    </row>
    <row r="3">
      <c r="A3" s="1" t="s">
        <v>659</v>
      </c>
      <c r="B3" s="1" t="s">
        <v>663</v>
      </c>
      <c r="C3" s="1" t="s">
        <v>664</v>
      </c>
      <c r="D3" s="3">
        <v>9.817108416E9</v>
      </c>
      <c r="E3" s="1" t="s">
        <v>41</v>
      </c>
      <c r="F3" s="3">
        <v>7.0</v>
      </c>
      <c r="G3" s="1" t="s">
        <v>188</v>
      </c>
      <c r="H3" s="1" t="s">
        <v>186</v>
      </c>
      <c r="I3" s="1" t="s">
        <v>185</v>
      </c>
      <c r="J3" s="1" t="s">
        <v>663</v>
      </c>
      <c r="K3" s="3">
        <v>32034.0</v>
      </c>
      <c r="L3" s="3">
        <v>40231.0</v>
      </c>
      <c r="M3" s="3">
        <v>85241.0</v>
      </c>
      <c r="N3" s="4">
        <v>46121.52108796296</v>
      </c>
      <c r="O3" s="3">
        <v>85241.0</v>
      </c>
      <c r="P3" s="4">
        <v>46121.56107638889</v>
      </c>
      <c r="Q3" s="3">
        <v>85241.0</v>
      </c>
      <c r="R3" s="4">
        <v>46121.52108796296</v>
      </c>
      <c r="T3" s="1" t="s">
        <v>665</v>
      </c>
      <c r="U3" s="6">
        <v>46269.0</v>
      </c>
      <c r="V3" s="1" t="s">
        <v>43</v>
      </c>
    </row>
    <row r="4">
      <c r="A4" s="1" t="s">
        <v>659</v>
      </c>
      <c r="B4" s="1" t="s">
        <v>666</v>
      </c>
      <c r="C4" s="1" t="s">
        <v>667</v>
      </c>
      <c r="D4" s="3">
        <v>9.811397737E9</v>
      </c>
      <c r="E4" s="1" t="s">
        <v>41</v>
      </c>
      <c r="F4" s="3">
        <v>6.0</v>
      </c>
      <c r="G4" s="1" t="s">
        <v>82</v>
      </c>
      <c r="H4" s="1" t="s">
        <v>53</v>
      </c>
      <c r="I4" s="1" t="s">
        <v>290</v>
      </c>
      <c r="J4" s="1" t="s">
        <v>660</v>
      </c>
      <c r="K4" s="3">
        <v>32064.0</v>
      </c>
      <c r="L4" s="3">
        <v>40223.0</v>
      </c>
      <c r="M4" s="3">
        <v>89462.0</v>
      </c>
      <c r="N4" s="4">
        <v>46126.675462962965</v>
      </c>
      <c r="O4" s="3">
        <v>656.0</v>
      </c>
      <c r="P4" s="4">
        <v>46132.70725694444</v>
      </c>
      <c r="Q4" s="3">
        <v>656.0</v>
      </c>
      <c r="R4" s="4">
        <v>46126.675462962965</v>
      </c>
      <c r="T4" s="1" t="s">
        <v>668</v>
      </c>
      <c r="U4" s="3" t="s">
        <v>193</v>
      </c>
      <c r="V4" s="1" t="s">
        <v>43</v>
      </c>
    </row>
    <row r="5">
      <c r="A5" s="1" t="s">
        <v>659</v>
      </c>
      <c r="B5" s="1" t="s">
        <v>669</v>
      </c>
      <c r="C5" s="1" t="s">
        <v>670</v>
      </c>
      <c r="D5" s="3">
        <v>9.426305485E9</v>
      </c>
      <c r="E5" s="1" t="s">
        <v>41</v>
      </c>
      <c r="F5" s="3">
        <v>7.0</v>
      </c>
      <c r="G5" s="1" t="s">
        <v>131</v>
      </c>
      <c r="H5" s="1" t="s">
        <v>53</v>
      </c>
      <c r="I5" s="1" t="s">
        <v>129</v>
      </c>
      <c r="J5" s="1" t="s">
        <v>669</v>
      </c>
      <c r="K5" s="3">
        <v>32070.0</v>
      </c>
      <c r="L5" s="3">
        <v>40312.0</v>
      </c>
      <c r="M5" s="3">
        <v>77221.0</v>
      </c>
      <c r="N5" s="4">
        <v>46128.42049768518</v>
      </c>
      <c r="O5" s="3">
        <v>77221.0</v>
      </c>
      <c r="P5" s="4">
        <v>46128.47826388889</v>
      </c>
      <c r="Q5" s="3">
        <v>77221.0</v>
      </c>
      <c r="R5" s="4">
        <v>46128.42049768518</v>
      </c>
      <c r="T5" s="1" t="s">
        <v>668</v>
      </c>
      <c r="U5" s="3" t="s">
        <v>113</v>
      </c>
      <c r="V5" s="1" t="s">
        <v>43</v>
      </c>
    </row>
    <row r="6">
      <c r="A6" s="1" t="s">
        <v>659</v>
      </c>
      <c r="B6" s="1" t="s">
        <v>671</v>
      </c>
      <c r="C6" s="1" t="s">
        <v>672</v>
      </c>
      <c r="D6" s="10">
        <v>1.2017E10</v>
      </c>
      <c r="E6" s="1" t="s">
        <v>673</v>
      </c>
      <c r="F6" s="3">
        <v>8.0</v>
      </c>
      <c r="G6" s="1" t="s">
        <v>82</v>
      </c>
      <c r="H6" s="1" t="s">
        <v>53</v>
      </c>
      <c r="I6" s="1" t="s">
        <v>504</v>
      </c>
      <c r="J6" s="1" t="s">
        <v>671</v>
      </c>
      <c r="K6" s="3">
        <v>32073.0</v>
      </c>
      <c r="L6" s="3">
        <v>40316.0</v>
      </c>
      <c r="M6" s="3">
        <v>89179.0</v>
      </c>
      <c r="N6" s="4">
        <v>46129.21021990741</v>
      </c>
      <c r="O6" s="3">
        <v>89179.0</v>
      </c>
      <c r="P6" s="4">
        <v>46132.70663194444</v>
      </c>
      <c r="Q6" s="3">
        <v>89179.0</v>
      </c>
      <c r="R6" s="4">
        <v>46129.21021990741</v>
      </c>
      <c r="T6" s="1" t="s">
        <v>668</v>
      </c>
      <c r="U6" s="3" t="s">
        <v>193</v>
      </c>
      <c r="V6" s="1" t="s">
        <v>43</v>
      </c>
    </row>
    <row r="7">
      <c r="A7" s="1" t="s">
        <v>659</v>
      </c>
      <c r="B7" s="1" t="s">
        <v>150</v>
      </c>
      <c r="C7" s="1" t="s">
        <v>154</v>
      </c>
      <c r="D7" s="3">
        <v>7.991188158E9</v>
      </c>
      <c r="E7" s="1" t="s">
        <v>41</v>
      </c>
      <c r="F7" s="3">
        <v>8.0</v>
      </c>
      <c r="G7" s="1" t="s">
        <v>60</v>
      </c>
      <c r="H7" s="1" t="s">
        <v>148</v>
      </c>
      <c r="I7" s="1" t="s">
        <v>453</v>
      </c>
      <c r="J7" s="1" t="s">
        <v>150</v>
      </c>
      <c r="K7" s="3">
        <v>32078.0</v>
      </c>
      <c r="L7" s="3">
        <v>40418.0</v>
      </c>
      <c r="M7" s="3">
        <v>89631.0</v>
      </c>
      <c r="N7" s="4">
        <v>46130.49679398148</v>
      </c>
      <c r="O7" s="3">
        <v>89631.0</v>
      </c>
      <c r="P7" s="4">
        <v>46132.455347222225</v>
      </c>
      <c r="Q7" s="3">
        <v>89631.0</v>
      </c>
      <c r="R7" s="4">
        <v>46130.49679398148</v>
      </c>
      <c r="T7" s="1" t="s">
        <v>674</v>
      </c>
      <c r="U7" s="3" t="s">
        <v>193</v>
      </c>
      <c r="V7" s="1" t="s">
        <v>43</v>
      </c>
    </row>
    <row r="8">
      <c r="A8" s="1" t="s">
        <v>659</v>
      </c>
      <c r="B8" s="1" t="s">
        <v>675</v>
      </c>
      <c r="C8" s="1" t="s">
        <v>676</v>
      </c>
      <c r="D8" s="3">
        <v>7.806973617E9</v>
      </c>
      <c r="E8" s="1" t="s">
        <v>41</v>
      </c>
      <c r="F8" s="3">
        <v>6.0</v>
      </c>
      <c r="G8" s="1" t="s">
        <v>60</v>
      </c>
      <c r="H8" s="1" t="s">
        <v>148</v>
      </c>
      <c r="I8" s="1" t="s">
        <v>459</v>
      </c>
      <c r="J8" s="1" t="s">
        <v>675</v>
      </c>
      <c r="K8" s="3">
        <v>32079.0</v>
      </c>
      <c r="L8" s="3">
        <v>40385.0</v>
      </c>
      <c r="M8" s="3">
        <v>88856.0</v>
      </c>
      <c r="N8" s="4">
        <v>46131.51459490741</v>
      </c>
      <c r="O8" s="3">
        <v>88856.0</v>
      </c>
      <c r="P8" s="4">
        <v>46132.49145833333</v>
      </c>
      <c r="Q8" s="3">
        <v>88856.0</v>
      </c>
      <c r="R8" s="4">
        <v>46131.51459490741</v>
      </c>
      <c r="T8" s="1" t="s">
        <v>665</v>
      </c>
      <c r="U8" s="3" t="s">
        <v>193</v>
      </c>
      <c r="V8" s="1" t="s">
        <v>43</v>
      </c>
    </row>
    <row r="9">
      <c r="A9" s="1" t="s">
        <v>659</v>
      </c>
      <c r="B9" s="1" t="s">
        <v>387</v>
      </c>
      <c r="C9" s="1" t="s">
        <v>393</v>
      </c>
      <c r="D9" s="10">
        <v>4.9152E12</v>
      </c>
      <c r="E9" s="1" t="s">
        <v>41</v>
      </c>
      <c r="F9" s="3">
        <v>7.0</v>
      </c>
      <c r="G9" s="1" t="s">
        <v>60</v>
      </c>
      <c r="H9" s="1" t="s">
        <v>148</v>
      </c>
      <c r="I9" s="1" t="s">
        <v>229</v>
      </c>
      <c r="J9" s="1" t="s">
        <v>387</v>
      </c>
      <c r="K9" s="3">
        <v>32086.0</v>
      </c>
      <c r="L9" s="3">
        <v>40415.0</v>
      </c>
      <c r="M9" s="3">
        <v>82309.0</v>
      </c>
      <c r="N9" s="4">
        <v>46132.693657407406</v>
      </c>
      <c r="O9" s="3">
        <v>82309.0</v>
      </c>
      <c r="P9" s="4">
        <v>46133.53052083333</v>
      </c>
      <c r="Q9" s="3">
        <v>82309.0</v>
      </c>
      <c r="R9" s="4">
        <v>46132.693657407406</v>
      </c>
      <c r="T9" s="1" t="s">
        <v>665</v>
      </c>
      <c r="U9" s="3" t="s">
        <v>127</v>
      </c>
      <c r="V9" s="1" t="s">
        <v>43</v>
      </c>
    </row>
    <row r="10">
      <c r="A10" s="1" t="s">
        <v>659</v>
      </c>
      <c r="B10" s="1" t="s">
        <v>677</v>
      </c>
      <c r="C10" s="1" t="s">
        <v>678</v>
      </c>
      <c r="D10" s="3">
        <v>9.818999391E9</v>
      </c>
      <c r="E10" s="1" t="s">
        <v>673</v>
      </c>
      <c r="F10" s="3">
        <v>6.0</v>
      </c>
      <c r="G10" s="1" t="s">
        <v>82</v>
      </c>
      <c r="H10" s="1" t="s">
        <v>53</v>
      </c>
      <c r="I10" s="1" t="s">
        <v>247</v>
      </c>
      <c r="J10" s="1" t="s">
        <v>677</v>
      </c>
      <c r="K10" s="3">
        <v>32113.0</v>
      </c>
      <c r="L10" s="3">
        <v>40286.0</v>
      </c>
      <c r="M10" s="3">
        <v>57651.0</v>
      </c>
      <c r="N10" s="4">
        <v>46135.423738425925</v>
      </c>
      <c r="O10" s="3">
        <v>57651.0</v>
      </c>
      <c r="P10" s="4">
        <v>46146.46298611111</v>
      </c>
      <c r="Q10" s="3">
        <v>57651.0</v>
      </c>
      <c r="R10" s="4">
        <v>46135.423738425925</v>
      </c>
      <c r="T10" s="1" t="s">
        <v>679</v>
      </c>
      <c r="U10" s="6">
        <v>46117.0</v>
      </c>
      <c r="V10" s="1" t="s">
        <v>215</v>
      </c>
    </row>
    <row r="11">
      <c r="A11" s="1" t="s">
        <v>659</v>
      </c>
      <c r="B11" s="1" t="s">
        <v>680</v>
      </c>
      <c r="C11" s="1" t="s">
        <v>681</v>
      </c>
      <c r="D11" s="3">
        <v>7.56969106E9</v>
      </c>
      <c r="E11" s="1" t="s">
        <v>673</v>
      </c>
      <c r="F11" s="3">
        <v>6.0</v>
      </c>
      <c r="G11" s="1" t="s">
        <v>82</v>
      </c>
      <c r="H11" s="1" t="s">
        <v>53</v>
      </c>
      <c r="I11" s="1" t="s">
        <v>80</v>
      </c>
      <c r="J11" s="1" t="s">
        <v>660</v>
      </c>
      <c r="K11" s="3">
        <v>32153.0</v>
      </c>
      <c r="L11" s="3">
        <v>40280.0</v>
      </c>
      <c r="M11" s="3">
        <v>89734.0</v>
      </c>
      <c r="N11" s="4">
        <v>46138.739120370374</v>
      </c>
      <c r="O11" s="3">
        <v>656.0</v>
      </c>
      <c r="P11" s="4">
        <v>46146.46357638889</v>
      </c>
      <c r="Q11" s="3">
        <v>656.0</v>
      </c>
      <c r="R11" s="4">
        <v>46138.739120370374</v>
      </c>
      <c r="T11" s="1" t="s">
        <v>679</v>
      </c>
      <c r="U11" s="6">
        <v>46117.0</v>
      </c>
      <c r="V11" s="1" t="s">
        <v>133</v>
      </c>
    </row>
  </sheetData>
  <mergeCells count="10">
    <mergeCell ref="R9:S9"/>
    <mergeCell ref="R10:S10"/>
    <mergeCell ref="R11:S11"/>
    <mergeCell ref="R2:S2"/>
    <mergeCell ref="R3:S3"/>
    <mergeCell ref="R4:S4"/>
    <mergeCell ref="R5:S5"/>
    <mergeCell ref="R6:S6"/>
    <mergeCell ref="R7:S7"/>
    <mergeCell ref="R8:S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2.25"/>
    <col customWidth="1" min="3" max="3" width="18.0"/>
    <col customWidth="1" min="10" max="10" width="53.25"/>
  </cols>
  <sheetData>
    <row r="1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627</v>
      </c>
      <c r="F1" s="1" t="s">
        <v>628</v>
      </c>
      <c r="G1" s="1" t="s">
        <v>686</v>
      </c>
      <c r="H1" s="1" t="s">
        <v>19</v>
      </c>
      <c r="I1" s="1" t="s">
        <v>687</v>
      </c>
      <c r="J1" s="1" t="s">
        <v>8</v>
      </c>
      <c r="K1" s="1" t="s">
        <v>688</v>
      </c>
    </row>
    <row r="2">
      <c r="A2" s="3">
        <v>89315.0</v>
      </c>
      <c r="B2" s="1" t="s">
        <v>689</v>
      </c>
      <c r="C2" s="4">
        <v>46113.52751157407</v>
      </c>
      <c r="D2" s="1" t="s">
        <v>690</v>
      </c>
      <c r="E2" s="1" t="s">
        <v>691</v>
      </c>
      <c r="F2" s="3">
        <v>9.921399784E9</v>
      </c>
      <c r="G2" s="1" t="s">
        <v>46</v>
      </c>
      <c r="H2" s="1" t="s">
        <v>63</v>
      </c>
      <c r="I2" s="1" t="s">
        <v>692</v>
      </c>
      <c r="J2" s="1" t="s">
        <v>43</v>
      </c>
    </row>
    <row r="3">
      <c r="A3" s="3">
        <v>89316.0</v>
      </c>
      <c r="B3" s="1" t="s">
        <v>693</v>
      </c>
      <c r="C3" s="4">
        <v>46113.5496412037</v>
      </c>
      <c r="D3" s="1" t="s">
        <v>694</v>
      </c>
      <c r="E3" s="1" t="s">
        <v>695</v>
      </c>
      <c r="F3" s="3">
        <v>6.024350087E9</v>
      </c>
      <c r="G3" s="1" t="s">
        <v>294</v>
      </c>
      <c r="H3" s="1" t="s">
        <v>696</v>
      </c>
      <c r="I3" s="1" t="s">
        <v>697</v>
      </c>
      <c r="J3" s="1" t="s">
        <v>43</v>
      </c>
    </row>
    <row r="4">
      <c r="A4" s="3">
        <v>89317.0</v>
      </c>
      <c r="B4" s="1" t="s">
        <v>698</v>
      </c>
      <c r="C4" s="4">
        <v>46113.561793981484</v>
      </c>
      <c r="D4" s="1" t="s">
        <v>690</v>
      </c>
      <c r="E4" s="1" t="s">
        <v>699</v>
      </c>
      <c r="F4" s="3">
        <v>7.385393346E9</v>
      </c>
      <c r="G4" s="1" t="s">
        <v>46</v>
      </c>
      <c r="H4" s="1" t="s">
        <v>63</v>
      </c>
      <c r="I4" s="1" t="s">
        <v>700</v>
      </c>
      <c r="J4" s="1" t="s">
        <v>701</v>
      </c>
      <c r="K4" s="7"/>
    </row>
    <row r="5">
      <c r="A5" s="3">
        <v>89318.0</v>
      </c>
      <c r="B5" s="1" t="s">
        <v>702</v>
      </c>
      <c r="C5" s="4">
        <v>46113.688935185186</v>
      </c>
      <c r="D5" s="1" t="s">
        <v>694</v>
      </c>
      <c r="E5" s="1" t="s">
        <v>703</v>
      </c>
      <c r="F5" s="3">
        <v>8.056779635E9</v>
      </c>
      <c r="G5" s="1" t="s">
        <v>46</v>
      </c>
      <c r="H5" s="1" t="s">
        <v>118</v>
      </c>
      <c r="I5" s="1" t="s">
        <v>704</v>
      </c>
      <c r="J5" s="1" t="s">
        <v>43</v>
      </c>
    </row>
    <row r="6">
      <c r="A6" s="3">
        <v>89319.0</v>
      </c>
      <c r="B6" s="1" t="s">
        <v>705</v>
      </c>
      <c r="C6" s="4">
        <v>46113.693402777775</v>
      </c>
      <c r="D6" s="1" t="s">
        <v>694</v>
      </c>
      <c r="E6" s="1" t="s">
        <v>706</v>
      </c>
      <c r="F6" s="3">
        <v>9.699121955E9</v>
      </c>
      <c r="G6" s="1" t="s">
        <v>46</v>
      </c>
      <c r="H6" s="1" t="s">
        <v>63</v>
      </c>
      <c r="I6" s="1" t="s">
        <v>97</v>
      </c>
      <c r="J6" s="1" t="s">
        <v>43</v>
      </c>
    </row>
    <row r="7">
      <c r="A7" s="3">
        <v>89320.0</v>
      </c>
      <c r="B7" s="1" t="s">
        <v>707</v>
      </c>
      <c r="C7" s="4">
        <v>46113.74092592593</v>
      </c>
      <c r="D7" s="1" t="s">
        <v>690</v>
      </c>
      <c r="E7" s="1" t="s">
        <v>708</v>
      </c>
      <c r="F7" s="3">
        <v>9.390368638E9</v>
      </c>
      <c r="G7" s="1" t="s">
        <v>46</v>
      </c>
      <c r="H7" s="1" t="s">
        <v>198</v>
      </c>
      <c r="I7" s="1" t="s">
        <v>709</v>
      </c>
      <c r="J7" s="1" t="s">
        <v>43</v>
      </c>
    </row>
    <row r="8">
      <c r="A8" s="3">
        <v>89321.0</v>
      </c>
      <c r="B8" s="1" t="s">
        <v>710</v>
      </c>
      <c r="C8" s="4">
        <v>46113.80737268519</v>
      </c>
      <c r="D8" s="1" t="s">
        <v>694</v>
      </c>
      <c r="E8" s="1" t="s">
        <v>711</v>
      </c>
      <c r="F8" s="3">
        <v>9.877309674E9</v>
      </c>
      <c r="G8" s="1" t="s">
        <v>46</v>
      </c>
      <c r="H8" s="1" t="s">
        <v>53</v>
      </c>
      <c r="I8" s="1" t="s">
        <v>712</v>
      </c>
      <c r="J8" s="1" t="s">
        <v>43</v>
      </c>
    </row>
    <row r="9">
      <c r="A9" s="3">
        <v>89322.0</v>
      </c>
      <c r="B9" s="1" t="s">
        <v>713</v>
      </c>
      <c r="C9" s="4">
        <v>46113.85818287037</v>
      </c>
      <c r="D9" s="1" t="s">
        <v>694</v>
      </c>
      <c r="E9" s="1" t="s">
        <v>714</v>
      </c>
      <c r="F9" s="3">
        <v>9.957692646E9</v>
      </c>
      <c r="G9" s="1" t="s">
        <v>46</v>
      </c>
      <c r="H9" s="1" t="s">
        <v>715</v>
      </c>
      <c r="I9" s="1" t="s">
        <v>716</v>
      </c>
      <c r="J9" s="1" t="s">
        <v>43</v>
      </c>
    </row>
    <row r="10">
      <c r="A10" s="3">
        <v>89323.0</v>
      </c>
      <c r="B10" s="1" t="s">
        <v>717</v>
      </c>
      <c r="C10" s="4">
        <v>46113.89565972222</v>
      </c>
      <c r="D10" s="1" t="s">
        <v>694</v>
      </c>
      <c r="E10" s="1" t="s">
        <v>718</v>
      </c>
      <c r="F10" s="1" t="s">
        <v>719</v>
      </c>
      <c r="G10" s="1" t="s">
        <v>46</v>
      </c>
      <c r="H10" s="1" t="s">
        <v>118</v>
      </c>
      <c r="I10" s="1" t="s">
        <v>473</v>
      </c>
      <c r="J10" s="1" t="s">
        <v>43</v>
      </c>
    </row>
    <row r="11">
      <c r="A11" s="3">
        <v>89324.0</v>
      </c>
      <c r="B11" s="1" t="s">
        <v>720</v>
      </c>
      <c r="C11" s="4">
        <v>46113.98451388889</v>
      </c>
      <c r="D11" s="1" t="s">
        <v>694</v>
      </c>
      <c r="E11" s="1" t="s">
        <v>721</v>
      </c>
      <c r="F11" s="3">
        <v>7.507952535E9</v>
      </c>
      <c r="G11" s="1" t="s">
        <v>46</v>
      </c>
      <c r="H11" s="1" t="s">
        <v>63</v>
      </c>
      <c r="I11" s="1" t="s">
        <v>325</v>
      </c>
      <c r="J11" s="1" t="s">
        <v>43</v>
      </c>
    </row>
    <row r="12">
      <c r="A12" s="3">
        <v>89325.0</v>
      </c>
      <c r="B12" s="1" t="s">
        <v>722</v>
      </c>
      <c r="C12" s="4">
        <v>46113.98653935185</v>
      </c>
      <c r="D12" s="1" t="s">
        <v>690</v>
      </c>
      <c r="E12" s="1" t="s">
        <v>723</v>
      </c>
      <c r="F12" s="7" t="str">
        <f>+91 7538029016</f>
        <v>#ERROR!</v>
      </c>
      <c r="G12" s="1" t="s">
        <v>46</v>
      </c>
      <c r="H12" s="1" t="s">
        <v>140</v>
      </c>
      <c r="I12" s="1" t="s">
        <v>724</v>
      </c>
      <c r="J12" s="1" t="s">
        <v>43</v>
      </c>
    </row>
    <row r="13">
      <c r="A13" s="3">
        <v>89326.0</v>
      </c>
      <c r="B13" s="1" t="s">
        <v>725</v>
      </c>
      <c r="C13" s="4">
        <v>46114.00172453704</v>
      </c>
      <c r="D13" s="1" t="s">
        <v>694</v>
      </c>
      <c r="E13" s="1" t="s">
        <v>726</v>
      </c>
      <c r="F13" s="7" t="str">
        <f>+91 92868 82043</f>
        <v>#ERROR!</v>
      </c>
      <c r="G13" s="1" t="s">
        <v>46</v>
      </c>
      <c r="H13" s="1" t="s">
        <v>53</v>
      </c>
      <c r="I13" s="1" t="s">
        <v>727</v>
      </c>
      <c r="J13" s="1" t="s">
        <v>43</v>
      </c>
    </row>
    <row r="14">
      <c r="A14" s="3">
        <v>89327.0</v>
      </c>
      <c r="B14" s="1" t="s">
        <v>728</v>
      </c>
      <c r="C14" s="4">
        <v>46114.012291666666</v>
      </c>
      <c r="D14" s="1" t="s">
        <v>694</v>
      </c>
      <c r="E14" s="1" t="s">
        <v>729</v>
      </c>
      <c r="F14" s="3">
        <v>7.898696964E9</v>
      </c>
      <c r="G14" s="1" t="s">
        <v>46</v>
      </c>
      <c r="H14" s="1" t="s">
        <v>203</v>
      </c>
      <c r="I14" s="1" t="s">
        <v>539</v>
      </c>
      <c r="J14" s="1" t="s">
        <v>43</v>
      </c>
    </row>
    <row r="15">
      <c r="A15" s="3">
        <v>89328.0</v>
      </c>
      <c r="B15" s="1" t="s">
        <v>730</v>
      </c>
      <c r="C15" s="4">
        <v>46114.05918981481</v>
      </c>
      <c r="D15" s="1" t="s">
        <v>694</v>
      </c>
      <c r="E15" s="1" t="s">
        <v>731</v>
      </c>
      <c r="F15" s="3">
        <v>7.397412663E9</v>
      </c>
      <c r="G15" s="1" t="s">
        <v>46</v>
      </c>
      <c r="H15" s="1" t="s">
        <v>118</v>
      </c>
      <c r="I15" s="1" t="s">
        <v>473</v>
      </c>
      <c r="J15" s="1" t="s">
        <v>43</v>
      </c>
    </row>
    <row r="16">
      <c r="A16" s="3">
        <v>89329.0</v>
      </c>
      <c r="B16" s="1" t="s">
        <v>732</v>
      </c>
      <c r="C16" s="4">
        <v>46114.18515046296</v>
      </c>
      <c r="D16" s="1" t="s">
        <v>694</v>
      </c>
      <c r="E16" s="1" t="s">
        <v>733</v>
      </c>
      <c r="F16" s="3">
        <v>8.287324073E9</v>
      </c>
      <c r="G16" s="1" t="s">
        <v>46</v>
      </c>
      <c r="H16" s="1" t="s">
        <v>241</v>
      </c>
      <c r="I16" s="1" t="s">
        <v>275</v>
      </c>
      <c r="J16" s="1" t="s">
        <v>43</v>
      </c>
    </row>
    <row r="17">
      <c r="A17" s="3">
        <v>89330.0</v>
      </c>
      <c r="B17" s="1" t="s">
        <v>734</v>
      </c>
      <c r="C17" s="4">
        <v>46114.43917824074</v>
      </c>
      <c r="D17" s="1" t="s">
        <v>690</v>
      </c>
      <c r="E17" s="1" t="s">
        <v>735</v>
      </c>
      <c r="F17" s="3">
        <v>7.297872763E9</v>
      </c>
      <c r="G17" s="1" t="s">
        <v>46</v>
      </c>
      <c r="H17" s="1" t="s">
        <v>285</v>
      </c>
      <c r="I17" s="1" t="s">
        <v>736</v>
      </c>
      <c r="J17" s="7"/>
      <c r="K17" s="7"/>
    </row>
    <row r="18">
      <c r="A18" s="3">
        <v>89331.0</v>
      </c>
      <c r="B18" s="1" t="s">
        <v>737</v>
      </c>
      <c r="C18" s="4">
        <v>46114.47752314815</v>
      </c>
      <c r="D18" s="1" t="s">
        <v>694</v>
      </c>
      <c r="E18" s="1" t="s">
        <v>738</v>
      </c>
      <c r="F18" s="3">
        <v>7.807411048E9</v>
      </c>
      <c r="G18" s="1" t="s">
        <v>46</v>
      </c>
      <c r="H18" s="1" t="s">
        <v>241</v>
      </c>
      <c r="I18" s="1" t="s">
        <v>275</v>
      </c>
      <c r="J18" s="1" t="s">
        <v>43</v>
      </c>
    </row>
    <row r="19">
      <c r="A19" s="3">
        <v>89332.0</v>
      </c>
      <c r="B19" s="1" t="s">
        <v>739</v>
      </c>
      <c r="C19" s="4">
        <v>46114.490266203706</v>
      </c>
      <c r="D19" s="1" t="s">
        <v>694</v>
      </c>
      <c r="E19" s="1" t="s">
        <v>740</v>
      </c>
      <c r="F19" s="3">
        <v>9.384319203E9</v>
      </c>
      <c r="G19" s="1" t="s">
        <v>46</v>
      </c>
      <c r="H19" s="1" t="s">
        <v>118</v>
      </c>
      <c r="I19" s="1" t="s">
        <v>268</v>
      </c>
      <c r="J19" s="1" t="s">
        <v>43</v>
      </c>
    </row>
    <row r="20">
      <c r="A20" s="3">
        <v>89333.0</v>
      </c>
      <c r="B20" s="1" t="s">
        <v>741</v>
      </c>
      <c r="C20" s="4">
        <v>46114.527037037034</v>
      </c>
      <c r="D20" s="1" t="s">
        <v>694</v>
      </c>
      <c r="E20" s="1" t="s">
        <v>742</v>
      </c>
      <c r="F20" s="3">
        <v>9.877045458E9</v>
      </c>
      <c r="G20" s="1" t="s">
        <v>46</v>
      </c>
      <c r="H20" s="1" t="s">
        <v>45</v>
      </c>
      <c r="I20" s="1" t="s">
        <v>743</v>
      </c>
      <c r="J20" s="1" t="s">
        <v>43</v>
      </c>
    </row>
    <row r="21">
      <c r="A21" s="3">
        <v>89334.0</v>
      </c>
      <c r="B21" s="1" t="s">
        <v>744</v>
      </c>
      <c r="C21" s="4">
        <v>46114.63494212963</v>
      </c>
      <c r="D21" s="1" t="s">
        <v>694</v>
      </c>
      <c r="E21" s="1" t="s">
        <v>745</v>
      </c>
      <c r="F21" s="3">
        <v>8.500622348E9</v>
      </c>
      <c r="G21" s="1" t="s">
        <v>46</v>
      </c>
      <c r="H21" s="1" t="s">
        <v>746</v>
      </c>
      <c r="I21" s="1" t="s">
        <v>747</v>
      </c>
      <c r="J21" s="1" t="s">
        <v>43</v>
      </c>
    </row>
    <row r="22">
      <c r="A22" s="3">
        <v>89335.0</v>
      </c>
      <c r="B22" s="1" t="s">
        <v>748</v>
      </c>
      <c r="C22" s="4">
        <v>46114.64400462963</v>
      </c>
      <c r="D22" s="1" t="s">
        <v>690</v>
      </c>
      <c r="E22" s="1" t="s">
        <v>749</v>
      </c>
      <c r="F22" s="3">
        <v>7.019063847E9</v>
      </c>
      <c r="G22" s="1" t="s">
        <v>46</v>
      </c>
      <c r="H22" s="1" t="s">
        <v>152</v>
      </c>
      <c r="I22" s="1" t="s">
        <v>750</v>
      </c>
      <c r="J22" s="1" t="s">
        <v>43</v>
      </c>
    </row>
    <row r="23">
      <c r="A23" s="3">
        <v>89336.0</v>
      </c>
      <c r="B23" s="1" t="s">
        <v>751</v>
      </c>
      <c r="C23" s="4">
        <v>46114.671805555554</v>
      </c>
      <c r="D23" s="1" t="s">
        <v>690</v>
      </c>
      <c r="E23" s="1" t="s">
        <v>752</v>
      </c>
      <c r="F23" s="3">
        <v>8.960744642E9</v>
      </c>
      <c r="G23" s="1" t="s">
        <v>46</v>
      </c>
      <c r="H23" s="1" t="s">
        <v>285</v>
      </c>
      <c r="I23" s="1" t="s">
        <v>284</v>
      </c>
      <c r="J23" s="1" t="s">
        <v>43</v>
      </c>
    </row>
    <row r="24">
      <c r="A24" s="3">
        <v>89337.0</v>
      </c>
      <c r="B24" s="1" t="s">
        <v>753</v>
      </c>
      <c r="C24" s="4">
        <v>46114.71107638889</v>
      </c>
      <c r="D24" s="1" t="s">
        <v>694</v>
      </c>
      <c r="E24" s="1" t="s">
        <v>754</v>
      </c>
      <c r="F24" s="3">
        <v>8.096003379E9</v>
      </c>
      <c r="G24" s="1" t="s">
        <v>46</v>
      </c>
      <c r="H24" s="1" t="s">
        <v>104</v>
      </c>
      <c r="I24" s="1" t="s">
        <v>103</v>
      </c>
      <c r="J24" s="1" t="s">
        <v>43</v>
      </c>
    </row>
    <row r="25">
      <c r="A25" s="3">
        <v>89338.0</v>
      </c>
      <c r="B25" s="1" t="s">
        <v>755</v>
      </c>
      <c r="C25" s="4">
        <v>46114.71925925926</v>
      </c>
      <c r="D25" s="1" t="s">
        <v>694</v>
      </c>
      <c r="E25" s="1" t="s">
        <v>756</v>
      </c>
      <c r="F25" s="3">
        <v>9.674920381E9</v>
      </c>
      <c r="G25" s="1" t="s">
        <v>46</v>
      </c>
      <c r="H25" s="1" t="s">
        <v>235</v>
      </c>
      <c r="I25" s="1" t="s">
        <v>757</v>
      </c>
      <c r="J25" s="1" t="s">
        <v>43</v>
      </c>
    </row>
    <row r="26">
      <c r="A26" s="3">
        <v>89339.0</v>
      </c>
      <c r="B26" s="1" t="s">
        <v>758</v>
      </c>
      <c r="C26" s="4">
        <v>46114.74616898148</v>
      </c>
      <c r="D26" s="1" t="s">
        <v>690</v>
      </c>
      <c r="E26" s="1" t="s">
        <v>759</v>
      </c>
      <c r="F26" s="3">
        <v>9.790068604E9</v>
      </c>
      <c r="G26" s="1" t="s">
        <v>46</v>
      </c>
      <c r="H26" s="1" t="s">
        <v>118</v>
      </c>
      <c r="I26" s="1" t="s">
        <v>760</v>
      </c>
      <c r="J26" s="1" t="s">
        <v>43</v>
      </c>
    </row>
    <row r="27">
      <c r="A27" s="3">
        <v>89340.0</v>
      </c>
      <c r="B27" s="1" t="s">
        <v>761</v>
      </c>
      <c r="C27" s="4">
        <v>46114.75498842593</v>
      </c>
      <c r="D27" s="1" t="s">
        <v>694</v>
      </c>
      <c r="E27" s="1" t="s">
        <v>762</v>
      </c>
      <c r="F27" s="3">
        <v>8.97812918E9</v>
      </c>
      <c r="G27" s="1" t="s">
        <v>46</v>
      </c>
      <c r="H27" s="1" t="s">
        <v>104</v>
      </c>
      <c r="I27" s="1" t="s">
        <v>103</v>
      </c>
      <c r="J27" s="1" t="s">
        <v>43</v>
      </c>
    </row>
    <row r="28">
      <c r="A28" s="3">
        <v>89341.0</v>
      </c>
      <c r="B28" s="1" t="s">
        <v>763</v>
      </c>
      <c r="C28" s="4">
        <v>46114.79767361111</v>
      </c>
      <c r="D28" s="1" t="s">
        <v>694</v>
      </c>
      <c r="E28" s="1" t="s">
        <v>764</v>
      </c>
      <c r="F28" s="3">
        <v>9.000190433E9</v>
      </c>
      <c r="G28" s="1" t="s">
        <v>46</v>
      </c>
      <c r="H28" s="1" t="s">
        <v>104</v>
      </c>
      <c r="I28" s="1" t="s">
        <v>103</v>
      </c>
      <c r="J28" s="1" t="s">
        <v>43</v>
      </c>
    </row>
    <row r="29">
      <c r="A29" s="3">
        <v>89342.0</v>
      </c>
      <c r="B29" s="1" t="s">
        <v>765</v>
      </c>
      <c r="C29" s="4">
        <v>46114.81019675926</v>
      </c>
      <c r="D29" s="1" t="s">
        <v>694</v>
      </c>
      <c r="E29" s="7"/>
      <c r="F29" s="7"/>
      <c r="G29" s="1" t="s">
        <v>46</v>
      </c>
      <c r="H29" s="1" t="s">
        <v>104</v>
      </c>
      <c r="I29" s="1" t="s">
        <v>103</v>
      </c>
      <c r="J29" s="1" t="s">
        <v>43</v>
      </c>
    </row>
    <row r="30">
      <c r="A30" s="3">
        <v>89343.0</v>
      </c>
      <c r="B30" s="1" t="s">
        <v>766</v>
      </c>
      <c r="C30" s="4">
        <v>46114.84201388889</v>
      </c>
      <c r="D30" s="1" t="s">
        <v>690</v>
      </c>
      <c r="E30" s="1" t="s">
        <v>767</v>
      </c>
      <c r="F30" s="3">
        <v>9.490175038E9</v>
      </c>
      <c r="G30" s="1" t="s">
        <v>46</v>
      </c>
      <c r="H30" s="1" t="s">
        <v>104</v>
      </c>
      <c r="I30" s="1" t="s">
        <v>103</v>
      </c>
      <c r="J30" s="1" t="s">
        <v>43</v>
      </c>
    </row>
    <row r="31">
      <c r="A31" s="3">
        <v>89344.0</v>
      </c>
      <c r="B31" s="1" t="s">
        <v>768</v>
      </c>
      <c r="C31" s="4">
        <v>46114.849953703706</v>
      </c>
      <c r="D31" s="1" t="s">
        <v>694</v>
      </c>
      <c r="E31" s="1" t="s">
        <v>769</v>
      </c>
      <c r="F31" s="3">
        <v>8.501057898E9</v>
      </c>
      <c r="G31" s="1" t="s">
        <v>46</v>
      </c>
      <c r="H31" s="1" t="s">
        <v>104</v>
      </c>
      <c r="I31" s="1" t="s">
        <v>103</v>
      </c>
      <c r="J31" s="1" t="s">
        <v>43</v>
      </c>
    </row>
    <row r="32">
      <c r="A32" s="3">
        <v>89345.0</v>
      </c>
      <c r="B32" s="1" t="s">
        <v>770</v>
      </c>
      <c r="C32" s="4">
        <v>46114.89365740741</v>
      </c>
      <c r="D32" s="1" t="s">
        <v>690</v>
      </c>
      <c r="E32" s="1" t="s">
        <v>771</v>
      </c>
      <c r="F32" s="3">
        <v>7.337251566E9</v>
      </c>
      <c r="G32" s="1" t="s">
        <v>46</v>
      </c>
      <c r="H32" s="1" t="s">
        <v>104</v>
      </c>
      <c r="I32" s="1" t="s">
        <v>772</v>
      </c>
      <c r="J32" s="1" t="s">
        <v>43</v>
      </c>
    </row>
    <row r="33">
      <c r="A33" s="3">
        <v>89346.0</v>
      </c>
      <c r="B33" s="1" t="s">
        <v>773</v>
      </c>
      <c r="C33" s="4">
        <v>46114.93744212963</v>
      </c>
      <c r="D33" s="1" t="s">
        <v>694</v>
      </c>
      <c r="E33" s="1" t="s">
        <v>774</v>
      </c>
      <c r="F33" s="3">
        <v>7.012170357E9</v>
      </c>
      <c r="G33" s="1" t="s">
        <v>46</v>
      </c>
      <c r="H33" s="1" t="s">
        <v>331</v>
      </c>
      <c r="I33" s="1" t="s">
        <v>775</v>
      </c>
      <c r="J33" s="1" t="s">
        <v>43</v>
      </c>
    </row>
    <row r="34">
      <c r="A34" s="3">
        <v>89347.0</v>
      </c>
      <c r="B34" s="1" t="s">
        <v>776</v>
      </c>
      <c r="C34" s="4">
        <v>46114.93991898148</v>
      </c>
      <c r="D34" s="1" t="s">
        <v>694</v>
      </c>
      <c r="E34" s="1" t="s">
        <v>777</v>
      </c>
      <c r="F34" s="3">
        <v>6.003731632E9</v>
      </c>
      <c r="G34" s="1" t="s">
        <v>46</v>
      </c>
      <c r="H34" s="1" t="s">
        <v>715</v>
      </c>
      <c r="I34" s="1" t="s">
        <v>778</v>
      </c>
      <c r="J34" s="1" t="s">
        <v>43</v>
      </c>
    </row>
    <row r="35">
      <c r="A35" s="3">
        <v>89348.0</v>
      </c>
      <c r="B35" s="1" t="s">
        <v>779</v>
      </c>
      <c r="C35" s="4">
        <v>46114.9640625</v>
      </c>
      <c r="D35" s="1" t="s">
        <v>690</v>
      </c>
      <c r="E35" s="1" t="s">
        <v>780</v>
      </c>
      <c r="F35" s="3">
        <v>6.30205295E9</v>
      </c>
      <c r="G35" s="1" t="s">
        <v>46</v>
      </c>
      <c r="H35" s="1" t="s">
        <v>104</v>
      </c>
      <c r="I35" s="1" t="s">
        <v>103</v>
      </c>
      <c r="J35" s="1" t="s">
        <v>43</v>
      </c>
    </row>
    <row r="36">
      <c r="A36" s="3">
        <v>89349.0</v>
      </c>
      <c r="B36" s="1" t="s">
        <v>781</v>
      </c>
      <c r="C36" s="4">
        <v>46114.98278935185</v>
      </c>
      <c r="D36" s="1" t="s">
        <v>694</v>
      </c>
      <c r="E36" s="1" t="s">
        <v>782</v>
      </c>
      <c r="F36" s="3">
        <v>9.599496372E9</v>
      </c>
      <c r="G36" s="1" t="s">
        <v>46</v>
      </c>
      <c r="H36" s="1" t="s">
        <v>241</v>
      </c>
      <c r="I36" s="1" t="s">
        <v>275</v>
      </c>
      <c r="J36" s="1" t="s">
        <v>468</v>
      </c>
    </row>
    <row r="37">
      <c r="A37" s="3">
        <v>89350.0</v>
      </c>
      <c r="B37" s="1" t="s">
        <v>783</v>
      </c>
      <c r="C37" s="4">
        <v>46114.99233796296</v>
      </c>
      <c r="D37" s="1" t="s">
        <v>694</v>
      </c>
      <c r="E37" s="1" t="s">
        <v>784</v>
      </c>
      <c r="F37" s="3">
        <v>8.527455252E9</v>
      </c>
      <c r="G37" s="1" t="s">
        <v>46</v>
      </c>
      <c r="H37" s="1" t="s">
        <v>53</v>
      </c>
      <c r="I37" s="1" t="s">
        <v>367</v>
      </c>
      <c r="J37" s="1" t="s">
        <v>43</v>
      </c>
    </row>
    <row r="38">
      <c r="A38" s="3">
        <v>89351.0</v>
      </c>
      <c r="B38" s="1" t="s">
        <v>785</v>
      </c>
      <c r="C38" s="4">
        <v>46115.00037037037</v>
      </c>
      <c r="D38" s="1" t="s">
        <v>694</v>
      </c>
      <c r="E38" s="1" t="s">
        <v>786</v>
      </c>
      <c r="F38" s="3">
        <v>9.944601364E9</v>
      </c>
      <c r="G38" s="1" t="s">
        <v>46</v>
      </c>
      <c r="H38" s="1" t="s">
        <v>118</v>
      </c>
      <c r="I38" s="1" t="s">
        <v>787</v>
      </c>
      <c r="J38" s="1" t="s">
        <v>43</v>
      </c>
    </row>
    <row r="39">
      <c r="A39" s="3">
        <v>89352.0</v>
      </c>
      <c r="B39" s="1" t="s">
        <v>788</v>
      </c>
      <c r="C39" s="4">
        <v>46115.10130787037</v>
      </c>
      <c r="D39" s="1" t="s">
        <v>694</v>
      </c>
      <c r="E39" s="7"/>
      <c r="F39" s="7"/>
      <c r="G39" s="1" t="s">
        <v>46</v>
      </c>
      <c r="H39" s="1" t="s">
        <v>63</v>
      </c>
      <c r="I39" s="1" t="s">
        <v>97</v>
      </c>
      <c r="J39" s="1" t="s">
        <v>43</v>
      </c>
    </row>
    <row r="40">
      <c r="A40" s="3">
        <v>89353.0</v>
      </c>
      <c r="B40" s="1" t="s">
        <v>789</v>
      </c>
      <c r="C40" s="4">
        <v>46115.152974537035</v>
      </c>
      <c r="D40" s="1" t="s">
        <v>690</v>
      </c>
      <c r="E40" s="1" t="s">
        <v>790</v>
      </c>
      <c r="F40" s="3">
        <v>8.09999283E9</v>
      </c>
      <c r="G40" s="1" t="s">
        <v>46</v>
      </c>
      <c r="H40" s="1" t="s">
        <v>746</v>
      </c>
      <c r="I40" s="1" t="s">
        <v>791</v>
      </c>
      <c r="J40" s="1" t="s">
        <v>43</v>
      </c>
    </row>
    <row r="41">
      <c r="A41" s="3">
        <v>89354.0</v>
      </c>
      <c r="B41" s="1" t="s">
        <v>792</v>
      </c>
      <c r="C41" s="4">
        <v>46115.31862268518</v>
      </c>
      <c r="D41" s="1" t="s">
        <v>690</v>
      </c>
      <c r="E41" s="7"/>
      <c r="F41" s="7"/>
      <c r="G41" s="1" t="s">
        <v>46</v>
      </c>
      <c r="H41" s="1" t="s">
        <v>746</v>
      </c>
      <c r="I41" s="1" t="s">
        <v>793</v>
      </c>
      <c r="J41" s="1" t="s">
        <v>43</v>
      </c>
    </row>
    <row r="42">
      <c r="A42" s="3">
        <v>89355.0</v>
      </c>
      <c r="B42" s="1" t="s">
        <v>794</v>
      </c>
      <c r="C42" s="4">
        <v>46115.34180555555</v>
      </c>
      <c r="D42" s="1" t="s">
        <v>694</v>
      </c>
      <c r="E42" s="1" t="s">
        <v>795</v>
      </c>
      <c r="F42" s="3">
        <v>9.491764886E9</v>
      </c>
      <c r="G42" s="1" t="s">
        <v>46</v>
      </c>
      <c r="H42" s="1" t="s">
        <v>746</v>
      </c>
      <c r="I42" s="1" t="s">
        <v>796</v>
      </c>
      <c r="J42" s="1" t="s">
        <v>43</v>
      </c>
    </row>
    <row r="43">
      <c r="A43" s="3">
        <v>89356.0</v>
      </c>
      <c r="B43" s="1" t="s">
        <v>797</v>
      </c>
      <c r="C43" s="4">
        <v>46115.43335648148</v>
      </c>
      <c r="D43" s="1" t="s">
        <v>690</v>
      </c>
      <c r="E43" s="1" t="s">
        <v>798</v>
      </c>
      <c r="F43" s="3">
        <v>7.903748581E9</v>
      </c>
      <c r="G43" s="1" t="s">
        <v>46</v>
      </c>
      <c r="H43" s="1" t="s">
        <v>53</v>
      </c>
      <c r="I43" s="1" t="s">
        <v>799</v>
      </c>
      <c r="J43" s="7"/>
      <c r="K43" s="7"/>
    </row>
    <row r="44">
      <c r="A44" s="3">
        <v>89357.0</v>
      </c>
      <c r="B44" s="1" t="s">
        <v>800</v>
      </c>
      <c r="C44" s="4">
        <v>46115.44902777778</v>
      </c>
      <c r="D44" s="1" t="s">
        <v>694</v>
      </c>
      <c r="E44" s="1" t="s">
        <v>801</v>
      </c>
      <c r="F44" s="3">
        <v>9.600081347E9</v>
      </c>
      <c r="G44" s="1" t="s">
        <v>263</v>
      </c>
      <c r="H44" s="1" t="s">
        <v>262</v>
      </c>
      <c r="I44" s="1" t="s">
        <v>262</v>
      </c>
      <c r="J44" s="1" t="s">
        <v>43</v>
      </c>
    </row>
    <row r="45">
      <c r="A45" s="3">
        <v>89358.0</v>
      </c>
      <c r="B45" s="1" t="s">
        <v>802</v>
      </c>
      <c r="C45" s="4">
        <v>46115.46666666667</v>
      </c>
      <c r="D45" s="1" t="s">
        <v>694</v>
      </c>
      <c r="E45" s="1" t="s">
        <v>803</v>
      </c>
      <c r="F45" s="3">
        <v>8.30740278E9</v>
      </c>
      <c r="G45" s="1" t="s">
        <v>46</v>
      </c>
      <c r="H45" s="1" t="s">
        <v>124</v>
      </c>
      <c r="I45" s="1" t="s">
        <v>804</v>
      </c>
      <c r="J45" s="1" t="s">
        <v>43</v>
      </c>
    </row>
    <row r="46">
      <c r="A46" s="3">
        <v>89359.0</v>
      </c>
      <c r="B46" s="1" t="s">
        <v>805</v>
      </c>
      <c r="C46" s="4">
        <v>46115.48769675926</v>
      </c>
      <c r="D46" s="1" t="s">
        <v>690</v>
      </c>
      <c r="E46" s="1" t="s">
        <v>806</v>
      </c>
      <c r="F46" s="3">
        <v>7.38131863E9</v>
      </c>
      <c r="G46" s="1" t="s">
        <v>46</v>
      </c>
      <c r="H46" s="1" t="s">
        <v>140</v>
      </c>
      <c r="I46" s="1" t="s">
        <v>807</v>
      </c>
      <c r="J46" s="1" t="s">
        <v>43</v>
      </c>
    </row>
    <row r="47">
      <c r="A47" s="3">
        <v>89360.0</v>
      </c>
      <c r="B47" s="1" t="s">
        <v>808</v>
      </c>
      <c r="C47" s="4">
        <v>46115.50796296296</v>
      </c>
      <c r="D47" s="1" t="s">
        <v>690</v>
      </c>
      <c r="E47" s="1" t="s">
        <v>809</v>
      </c>
      <c r="F47" s="3">
        <v>9.492624653E9</v>
      </c>
      <c r="G47" s="1" t="s">
        <v>46</v>
      </c>
      <c r="H47" s="1" t="s">
        <v>746</v>
      </c>
      <c r="I47" s="1" t="s">
        <v>810</v>
      </c>
      <c r="J47" s="1" t="s">
        <v>43</v>
      </c>
    </row>
    <row r="48">
      <c r="A48" s="3">
        <v>89361.0</v>
      </c>
      <c r="B48" s="1" t="s">
        <v>811</v>
      </c>
      <c r="C48" s="4">
        <v>46115.51689814815</v>
      </c>
      <c r="D48" s="1" t="s">
        <v>690</v>
      </c>
      <c r="E48" s="1" t="s">
        <v>812</v>
      </c>
      <c r="F48" s="3">
        <v>9.492624653E9</v>
      </c>
      <c r="G48" s="1" t="s">
        <v>46</v>
      </c>
      <c r="H48" s="1" t="s">
        <v>746</v>
      </c>
      <c r="I48" s="1" t="s">
        <v>810</v>
      </c>
      <c r="J48" s="1" t="s">
        <v>43</v>
      </c>
    </row>
    <row r="49">
      <c r="A49" s="3">
        <v>89362.0</v>
      </c>
      <c r="B49" s="1" t="s">
        <v>813</v>
      </c>
      <c r="C49" s="4">
        <v>46115.53502314815</v>
      </c>
      <c r="D49" s="1" t="s">
        <v>690</v>
      </c>
      <c r="E49" s="1" t="s">
        <v>814</v>
      </c>
      <c r="F49" s="3">
        <v>9.704506205E9</v>
      </c>
      <c r="G49" s="1" t="s">
        <v>46</v>
      </c>
      <c r="H49" s="1" t="s">
        <v>746</v>
      </c>
      <c r="I49" s="1" t="s">
        <v>815</v>
      </c>
      <c r="J49" s="1" t="s">
        <v>43</v>
      </c>
    </row>
    <row r="50">
      <c r="A50" s="3">
        <v>89363.0</v>
      </c>
      <c r="B50" s="1" t="s">
        <v>816</v>
      </c>
      <c r="C50" s="4">
        <v>46115.5684837963</v>
      </c>
      <c r="D50" s="1" t="s">
        <v>690</v>
      </c>
      <c r="E50" s="1" t="s">
        <v>817</v>
      </c>
      <c r="F50" s="3">
        <v>9.968988314E9</v>
      </c>
      <c r="G50" s="1" t="s">
        <v>46</v>
      </c>
      <c r="H50" s="1" t="s">
        <v>53</v>
      </c>
      <c r="I50" s="1" t="s">
        <v>367</v>
      </c>
      <c r="J50" s="1" t="s">
        <v>43</v>
      </c>
    </row>
    <row r="51">
      <c r="A51" s="3">
        <v>89364.0</v>
      </c>
      <c r="B51" s="1" t="s">
        <v>818</v>
      </c>
      <c r="C51" s="4">
        <v>46115.61837962963</v>
      </c>
      <c r="D51" s="1" t="s">
        <v>694</v>
      </c>
      <c r="E51" s="1" t="s">
        <v>819</v>
      </c>
      <c r="F51" s="3">
        <v>7.842331544E9</v>
      </c>
      <c r="G51" s="1" t="s">
        <v>46</v>
      </c>
      <c r="H51" s="1" t="s">
        <v>746</v>
      </c>
      <c r="I51" s="1" t="s">
        <v>820</v>
      </c>
      <c r="J51" s="1" t="s">
        <v>43</v>
      </c>
    </row>
    <row r="52">
      <c r="A52" s="3">
        <v>89365.0</v>
      </c>
      <c r="B52" s="1" t="s">
        <v>821</v>
      </c>
      <c r="C52" s="4">
        <v>46115.71973379629</v>
      </c>
      <c r="D52" s="1" t="s">
        <v>690</v>
      </c>
      <c r="E52" s="1" t="s">
        <v>822</v>
      </c>
      <c r="F52" s="3">
        <v>9.348152289E9</v>
      </c>
      <c r="G52" s="1" t="s">
        <v>46</v>
      </c>
      <c r="H52" s="1" t="s">
        <v>140</v>
      </c>
      <c r="I52" s="1" t="s">
        <v>823</v>
      </c>
      <c r="J52" s="1" t="s">
        <v>43</v>
      </c>
    </row>
    <row r="53">
      <c r="A53" s="3">
        <v>89366.0</v>
      </c>
      <c r="B53" s="1" t="s">
        <v>824</v>
      </c>
      <c r="C53" s="4">
        <v>46115.767430555556</v>
      </c>
      <c r="D53" s="1" t="s">
        <v>690</v>
      </c>
      <c r="E53" s="1" t="s">
        <v>825</v>
      </c>
      <c r="F53" s="3">
        <v>9.899686903E9</v>
      </c>
      <c r="G53" s="1" t="s">
        <v>46</v>
      </c>
      <c r="H53" s="1" t="s">
        <v>53</v>
      </c>
      <c r="I53" s="1" t="s">
        <v>367</v>
      </c>
      <c r="J53" s="1" t="s">
        <v>468</v>
      </c>
    </row>
    <row r="54">
      <c r="A54" s="3">
        <v>89367.0</v>
      </c>
      <c r="B54" s="1" t="s">
        <v>826</v>
      </c>
      <c r="C54" s="4">
        <v>46115.840844907405</v>
      </c>
      <c r="D54" s="1" t="s">
        <v>690</v>
      </c>
      <c r="E54" s="1" t="s">
        <v>827</v>
      </c>
      <c r="F54" s="3">
        <v>9.978987252E9</v>
      </c>
      <c r="G54" s="1" t="s">
        <v>46</v>
      </c>
      <c r="H54" s="1" t="s">
        <v>198</v>
      </c>
      <c r="I54" s="1" t="s">
        <v>197</v>
      </c>
      <c r="J54" s="7"/>
      <c r="K54" s="7"/>
    </row>
    <row r="55">
      <c r="A55" s="3">
        <v>89368.0</v>
      </c>
      <c r="B55" s="1" t="s">
        <v>828</v>
      </c>
      <c r="C55" s="4">
        <v>46115.87061342593</v>
      </c>
      <c r="D55" s="1" t="s">
        <v>694</v>
      </c>
      <c r="E55" s="1" t="s">
        <v>829</v>
      </c>
      <c r="F55" s="3">
        <v>9.663039293E9</v>
      </c>
      <c r="G55" s="1" t="s">
        <v>46</v>
      </c>
      <c r="H55" s="1" t="s">
        <v>152</v>
      </c>
      <c r="I55" s="1" t="s">
        <v>151</v>
      </c>
      <c r="J55" s="1" t="s">
        <v>43</v>
      </c>
    </row>
    <row r="56">
      <c r="A56" s="3">
        <v>89369.0</v>
      </c>
      <c r="B56" s="1" t="s">
        <v>830</v>
      </c>
      <c r="C56" s="4">
        <v>46115.909421296295</v>
      </c>
      <c r="D56" s="1" t="s">
        <v>694</v>
      </c>
      <c r="E56" s="1" t="s">
        <v>831</v>
      </c>
      <c r="F56" s="1" t="s">
        <v>832</v>
      </c>
      <c r="G56" s="1" t="s">
        <v>46</v>
      </c>
      <c r="H56" s="1" t="s">
        <v>104</v>
      </c>
      <c r="I56" s="1" t="s">
        <v>103</v>
      </c>
      <c r="J56" s="1" t="s">
        <v>43</v>
      </c>
    </row>
    <row r="57">
      <c r="A57" s="3">
        <v>89370.0</v>
      </c>
      <c r="B57" s="1" t="s">
        <v>833</v>
      </c>
      <c r="C57" s="4">
        <v>46116.01181712963</v>
      </c>
      <c r="D57" s="1" t="s">
        <v>694</v>
      </c>
      <c r="E57" s="1" t="s">
        <v>834</v>
      </c>
      <c r="F57" s="3">
        <v>8.986312488E9</v>
      </c>
      <c r="G57" s="1" t="s">
        <v>46</v>
      </c>
      <c r="H57" s="1" t="s">
        <v>53</v>
      </c>
      <c r="I57" s="1" t="s">
        <v>110</v>
      </c>
      <c r="J57" s="1" t="s">
        <v>43</v>
      </c>
    </row>
    <row r="58">
      <c r="A58" s="3">
        <v>89371.0</v>
      </c>
      <c r="B58" s="1" t="s">
        <v>835</v>
      </c>
      <c r="C58" s="4">
        <v>46116.013969907406</v>
      </c>
      <c r="D58" s="1" t="s">
        <v>694</v>
      </c>
      <c r="E58" s="1" t="s">
        <v>836</v>
      </c>
      <c r="F58" s="3">
        <v>9.490939329E9</v>
      </c>
      <c r="G58" s="1" t="s">
        <v>46</v>
      </c>
      <c r="H58" s="1" t="s">
        <v>746</v>
      </c>
      <c r="I58" s="1" t="s">
        <v>837</v>
      </c>
      <c r="J58" s="1" t="s">
        <v>303</v>
      </c>
    </row>
    <row r="59">
      <c r="A59" s="3">
        <v>89372.0</v>
      </c>
      <c r="B59" s="1" t="s">
        <v>838</v>
      </c>
      <c r="C59" s="4">
        <v>46116.04476851852</v>
      </c>
      <c r="D59" s="1" t="s">
        <v>694</v>
      </c>
      <c r="E59" s="1" t="s">
        <v>839</v>
      </c>
      <c r="F59" s="7" t="str">
        <f>+91 9237529330</f>
        <v>#ERROR!</v>
      </c>
      <c r="G59" s="1" t="s">
        <v>46</v>
      </c>
      <c r="H59" s="1" t="s">
        <v>152</v>
      </c>
      <c r="I59" s="1" t="s">
        <v>151</v>
      </c>
      <c r="J59" s="1" t="s">
        <v>43</v>
      </c>
    </row>
    <row r="60">
      <c r="A60" s="3">
        <v>89373.0</v>
      </c>
      <c r="B60" s="1" t="s">
        <v>840</v>
      </c>
      <c r="C60" s="4">
        <v>46116.21127314815</v>
      </c>
      <c r="D60" s="1" t="s">
        <v>694</v>
      </c>
      <c r="E60" s="1" t="s">
        <v>841</v>
      </c>
      <c r="F60" s="3">
        <v>2.368861168E9</v>
      </c>
      <c r="G60" s="1" t="s">
        <v>842</v>
      </c>
      <c r="H60" s="1" t="s">
        <v>843</v>
      </c>
      <c r="I60" s="1" t="s">
        <v>844</v>
      </c>
      <c r="J60" s="1" t="s">
        <v>43</v>
      </c>
    </row>
    <row r="61">
      <c r="A61" s="3">
        <v>89374.0</v>
      </c>
      <c r="B61" s="1" t="s">
        <v>845</v>
      </c>
      <c r="C61" s="4">
        <v>46116.281180555554</v>
      </c>
      <c r="D61" s="1" t="s">
        <v>694</v>
      </c>
      <c r="E61" s="1" t="s">
        <v>846</v>
      </c>
      <c r="F61" s="7" t="str">
        <f>+91 99020 87420</f>
        <v>#ERROR!</v>
      </c>
      <c r="G61" s="1" t="s">
        <v>46</v>
      </c>
      <c r="H61" s="1" t="s">
        <v>152</v>
      </c>
      <c r="I61" s="1" t="s">
        <v>151</v>
      </c>
      <c r="J61" s="1" t="s">
        <v>43</v>
      </c>
    </row>
    <row r="62">
      <c r="A62" s="3">
        <v>89375.0</v>
      </c>
      <c r="B62" s="1" t="s">
        <v>847</v>
      </c>
      <c r="C62" s="4">
        <v>46116.42744212963</v>
      </c>
      <c r="D62" s="1" t="s">
        <v>694</v>
      </c>
      <c r="E62" s="1" t="s">
        <v>848</v>
      </c>
      <c r="F62" s="10">
        <v>9.6897E10</v>
      </c>
      <c r="G62" s="1" t="s">
        <v>849</v>
      </c>
      <c r="H62" s="1" t="s">
        <v>850</v>
      </c>
      <c r="I62" s="1" t="s">
        <v>851</v>
      </c>
      <c r="J62" s="1" t="s">
        <v>43</v>
      </c>
    </row>
    <row r="63">
      <c r="A63" s="3">
        <v>89376.0</v>
      </c>
      <c r="B63" s="1" t="s">
        <v>852</v>
      </c>
      <c r="C63" s="4">
        <v>46116.446284722224</v>
      </c>
      <c r="E63" s="1" t="s">
        <v>853</v>
      </c>
      <c r="F63" s="3">
        <v>9.985575353E9</v>
      </c>
      <c r="G63" s="7"/>
      <c r="H63" s="7"/>
      <c r="I63" s="7"/>
      <c r="J63" s="1" t="s">
        <v>854</v>
      </c>
    </row>
    <row r="64">
      <c r="A64" s="3">
        <v>89377.0</v>
      </c>
      <c r="B64" s="1" t="s">
        <v>855</v>
      </c>
      <c r="C64" s="4">
        <v>46116.44835648148</v>
      </c>
      <c r="D64" s="1" t="s">
        <v>690</v>
      </c>
      <c r="E64" s="1" t="s">
        <v>856</v>
      </c>
      <c r="F64" s="3">
        <v>9.820501089E9</v>
      </c>
      <c r="G64" s="1" t="s">
        <v>46</v>
      </c>
      <c r="H64" s="1" t="s">
        <v>63</v>
      </c>
      <c r="I64" s="1" t="s">
        <v>857</v>
      </c>
      <c r="J64" s="1" t="s">
        <v>43</v>
      </c>
    </row>
    <row r="65">
      <c r="A65" s="3">
        <v>89378.0</v>
      </c>
      <c r="B65" s="1" t="s">
        <v>384</v>
      </c>
      <c r="C65" s="4">
        <v>46116.53892361111</v>
      </c>
      <c r="D65" s="1" t="s">
        <v>694</v>
      </c>
      <c r="E65" s="1" t="s">
        <v>386</v>
      </c>
      <c r="F65" s="3">
        <v>6.001452446E9</v>
      </c>
      <c r="G65" s="1" t="s">
        <v>46</v>
      </c>
      <c r="H65" s="1" t="s">
        <v>152</v>
      </c>
      <c r="I65" s="1" t="s">
        <v>151</v>
      </c>
      <c r="J65" s="1" t="s">
        <v>43</v>
      </c>
    </row>
    <row r="66">
      <c r="A66" s="3">
        <v>89379.0</v>
      </c>
      <c r="B66" s="1" t="s">
        <v>858</v>
      </c>
      <c r="C66" s="4">
        <v>46116.56449074074</v>
      </c>
      <c r="D66" s="1" t="s">
        <v>694</v>
      </c>
      <c r="E66" s="1" t="s">
        <v>859</v>
      </c>
      <c r="F66" s="3">
        <v>6.305560806E9</v>
      </c>
      <c r="G66" s="1" t="s">
        <v>46</v>
      </c>
      <c r="H66" s="1" t="s">
        <v>104</v>
      </c>
      <c r="I66" s="1" t="s">
        <v>103</v>
      </c>
      <c r="J66" s="1" t="s">
        <v>43</v>
      </c>
    </row>
    <row r="67">
      <c r="A67" s="3">
        <v>89380.0</v>
      </c>
      <c r="B67" s="1" t="s">
        <v>860</v>
      </c>
      <c r="C67" s="4">
        <v>46116.670902777776</v>
      </c>
      <c r="D67" s="1" t="s">
        <v>694</v>
      </c>
      <c r="E67" s="1" t="s">
        <v>861</v>
      </c>
      <c r="F67" s="3">
        <v>7.888109431E9</v>
      </c>
      <c r="G67" s="1" t="s">
        <v>46</v>
      </c>
      <c r="H67" s="1" t="s">
        <v>63</v>
      </c>
      <c r="I67" s="1" t="s">
        <v>862</v>
      </c>
      <c r="J67" s="1" t="s">
        <v>43</v>
      </c>
    </row>
    <row r="68">
      <c r="A68" s="3">
        <v>89381.0</v>
      </c>
      <c r="B68" s="1" t="s">
        <v>863</v>
      </c>
      <c r="C68" s="4">
        <v>46116.689618055556</v>
      </c>
      <c r="D68" s="1" t="s">
        <v>690</v>
      </c>
      <c r="E68" s="1" t="s">
        <v>864</v>
      </c>
      <c r="F68" s="3">
        <v>7.984286742E9</v>
      </c>
      <c r="G68" s="1" t="s">
        <v>46</v>
      </c>
      <c r="H68" s="1" t="s">
        <v>152</v>
      </c>
      <c r="I68" s="1" t="s">
        <v>151</v>
      </c>
      <c r="J68" s="1" t="s">
        <v>43</v>
      </c>
    </row>
    <row r="69">
      <c r="A69" s="3">
        <v>89382.0</v>
      </c>
      <c r="B69" s="1" t="s">
        <v>865</v>
      </c>
      <c r="C69" s="4">
        <v>46116.69478009259</v>
      </c>
      <c r="D69" s="1" t="s">
        <v>694</v>
      </c>
      <c r="E69" s="1" t="s">
        <v>866</v>
      </c>
      <c r="F69" s="3">
        <v>9.1378057E9</v>
      </c>
      <c r="G69" s="1" t="s">
        <v>46</v>
      </c>
      <c r="H69" s="1" t="s">
        <v>63</v>
      </c>
      <c r="I69" s="1" t="s">
        <v>862</v>
      </c>
      <c r="J69" s="1" t="s">
        <v>43</v>
      </c>
    </row>
    <row r="70">
      <c r="A70" s="3">
        <v>89383.0</v>
      </c>
      <c r="B70" s="1" t="s">
        <v>867</v>
      </c>
      <c r="C70" s="4">
        <v>46116.71539351852</v>
      </c>
      <c r="D70" s="1" t="s">
        <v>694</v>
      </c>
      <c r="E70" s="7"/>
      <c r="F70" s="7"/>
      <c r="G70" s="1" t="s">
        <v>46</v>
      </c>
      <c r="H70" s="1" t="s">
        <v>198</v>
      </c>
      <c r="I70" s="1" t="s">
        <v>868</v>
      </c>
      <c r="J70" s="1" t="s">
        <v>43</v>
      </c>
    </row>
    <row r="71">
      <c r="A71" s="3">
        <v>89384.0</v>
      </c>
      <c r="B71" s="1" t="s">
        <v>869</v>
      </c>
      <c r="C71" s="4">
        <v>46116.81309027778</v>
      </c>
      <c r="D71" s="1" t="s">
        <v>690</v>
      </c>
      <c r="E71" s="1" t="s">
        <v>870</v>
      </c>
      <c r="F71" s="3">
        <v>9.879395226E9</v>
      </c>
      <c r="G71" s="1" t="s">
        <v>46</v>
      </c>
      <c r="H71" s="1" t="s">
        <v>241</v>
      </c>
      <c r="I71" s="1" t="s">
        <v>275</v>
      </c>
      <c r="J71" s="1" t="s">
        <v>43</v>
      </c>
    </row>
    <row r="72">
      <c r="A72" s="3">
        <v>89385.0</v>
      </c>
      <c r="B72" s="1" t="s">
        <v>871</v>
      </c>
      <c r="C72" s="4">
        <v>46116.827939814815</v>
      </c>
      <c r="D72" s="1" t="s">
        <v>694</v>
      </c>
      <c r="E72" s="1" t="s">
        <v>872</v>
      </c>
      <c r="F72" s="3">
        <v>9.339196119E9</v>
      </c>
      <c r="G72" s="1" t="s">
        <v>46</v>
      </c>
      <c r="H72" s="1" t="s">
        <v>235</v>
      </c>
      <c r="I72" s="1" t="s">
        <v>873</v>
      </c>
      <c r="J72" s="1" t="s">
        <v>43</v>
      </c>
    </row>
    <row r="73">
      <c r="A73" s="3">
        <v>89386.0</v>
      </c>
      <c r="B73" s="1" t="s">
        <v>874</v>
      </c>
      <c r="C73" s="4">
        <v>46116.93796296296</v>
      </c>
      <c r="D73" s="1" t="s">
        <v>694</v>
      </c>
      <c r="E73" s="1" t="s">
        <v>875</v>
      </c>
      <c r="F73" s="3">
        <v>6.370270141E9</v>
      </c>
      <c r="G73" s="1" t="s">
        <v>46</v>
      </c>
      <c r="H73" s="1" t="s">
        <v>140</v>
      </c>
      <c r="I73" s="1" t="s">
        <v>876</v>
      </c>
      <c r="J73" s="1" t="s">
        <v>43</v>
      </c>
    </row>
    <row r="74">
      <c r="A74" s="3">
        <v>89387.0</v>
      </c>
      <c r="B74" s="1" t="s">
        <v>877</v>
      </c>
      <c r="C74" s="4">
        <v>46116.961435185185</v>
      </c>
      <c r="D74" s="1" t="s">
        <v>694</v>
      </c>
      <c r="E74" s="1" t="s">
        <v>878</v>
      </c>
      <c r="F74" s="3">
        <v>9.170566099E9</v>
      </c>
      <c r="G74" s="1" t="s">
        <v>46</v>
      </c>
      <c r="H74" s="1" t="s">
        <v>53</v>
      </c>
      <c r="I74" s="1" t="s">
        <v>712</v>
      </c>
      <c r="J74" s="1" t="s">
        <v>43</v>
      </c>
    </row>
    <row r="75">
      <c r="A75" s="3">
        <v>89388.0</v>
      </c>
      <c r="B75" s="1" t="s">
        <v>879</v>
      </c>
      <c r="C75" s="4">
        <v>46116.9625</v>
      </c>
      <c r="D75" s="1" t="s">
        <v>690</v>
      </c>
      <c r="E75" s="1" t="s">
        <v>880</v>
      </c>
      <c r="F75" s="3">
        <v>7.042038696E9</v>
      </c>
      <c r="G75" s="1" t="s">
        <v>46</v>
      </c>
      <c r="H75" s="1" t="s">
        <v>241</v>
      </c>
      <c r="I75" s="1" t="s">
        <v>241</v>
      </c>
      <c r="J75" s="1" t="s">
        <v>43</v>
      </c>
    </row>
    <row r="76">
      <c r="A76" s="3">
        <v>89389.0</v>
      </c>
      <c r="B76" s="1" t="s">
        <v>881</v>
      </c>
      <c r="C76" s="4">
        <v>46117.00848379629</v>
      </c>
      <c r="D76" s="1" t="s">
        <v>690</v>
      </c>
      <c r="E76" s="1" t="s">
        <v>882</v>
      </c>
      <c r="F76" s="3">
        <v>8.342974492E9</v>
      </c>
      <c r="G76" s="1" t="s">
        <v>46</v>
      </c>
      <c r="H76" s="1" t="s">
        <v>152</v>
      </c>
      <c r="I76" s="1" t="s">
        <v>151</v>
      </c>
      <c r="J76" s="1" t="s">
        <v>43</v>
      </c>
    </row>
    <row r="77">
      <c r="A77" s="3">
        <v>89390.0</v>
      </c>
      <c r="B77" s="1" t="s">
        <v>883</v>
      </c>
      <c r="C77" s="4">
        <v>46117.040972222225</v>
      </c>
      <c r="D77" s="1" t="s">
        <v>690</v>
      </c>
      <c r="E77" s="1" t="s">
        <v>884</v>
      </c>
      <c r="F77" s="10">
        <v>9.1918E11</v>
      </c>
      <c r="G77" s="1" t="s">
        <v>46</v>
      </c>
      <c r="H77" s="1" t="s">
        <v>104</v>
      </c>
      <c r="I77" s="1" t="s">
        <v>103</v>
      </c>
      <c r="J77" s="1" t="s">
        <v>43</v>
      </c>
    </row>
    <row r="78">
      <c r="A78" s="3">
        <v>89391.0</v>
      </c>
      <c r="B78" s="1" t="s">
        <v>885</v>
      </c>
      <c r="C78" s="4">
        <v>46117.27921296296</v>
      </c>
      <c r="D78" s="1" t="s">
        <v>694</v>
      </c>
      <c r="E78" s="1" t="s">
        <v>886</v>
      </c>
      <c r="F78" s="7" t="str">
        <f>+91 9284182746</f>
        <v>#ERROR!</v>
      </c>
      <c r="G78" s="1" t="s">
        <v>577</v>
      </c>
      <c r="H78" s="1" t="s">
        <v>576</v>
      </c>
      <c r="I78" s="1" t="s">
        <v>576</v>
      </c>
      <c r="J78" s="1" t="s">
        <v>43</v>
      </c>
    </row>
    <row r="79">
      <c r="A79" s="3">
        <v>89392.0</v>
      </c>
      <c r="B79" s="1" t="s">
        <v>887</v>
      </c>
      <c r="C79" s="4">
        <v>46117.39042824074</v>
      </c>
      <c r="D79" s="1" t="s">
        <v>690</v>
      </c>
      <c r="E79" s="1" t="s">
        <v>888</v>
      </c>
      <c r="F79" s="3">
        <v>7.018047661E9</v>
      </c>
      <c r="G79" s="1" t="s">
        <v>46</v>
      </c>
      <c r="H79" s="1" t="s">
        <v>561</v>
      </c>
      <c r="I79" s="1" t="s">
        <v>889</v>
      </c>
      <c r="J79" s="1" t="s">
        <v>43</v>
      </c>
    </row>
    <row r="80">
      <c r="A80" s="3">
        <v>89393.0</v>
      </c>
      <c r="B80" s="1" t="s">
        <v>890</v>
      </c>
      <c r="C80" s="4">
        <v>46117.45563657407</v>
      </c>
      <c r="D80" s="1" t="s">
        <v>690</v>
      </c>
      <c r="E80" s="1" t="s">
        <v>891</v>
      </c>
      <c r="F80" s="3">
        <v>8.308433494E9</v>
      </c>
      <c r="G80" s="1" t="s">
        <v>46</v>
      </c>
      <c r="H80" s="1" t="s">
        <v>63</v>
      </c>
      <c r="I80" s="1" t="s">
        <v>892</v>
      </c>
      <c r="J80" s="1" t="s">
        <v>43</v>
      </c>
    </row>
    <row r="81">
      <c r="A81" s="3">
        <v>89394.0</v>
      </c>
      <c r="B81" s="1" t="s">
        <v>893</v>
      </c>
      <c r="C81" s="4">
        <v>46117.63796296297</v>
      </c>
      <c r="D81" s="1" t="s">
        <v>694</v>
      </c>
      <c r="E81" s="1" t="s">
        <v>894</v>
      </c>
      <c r="F81" s="10">
        <v>6.0116E11</v>
      </c>
      <c r="G81" s="1" t="s">
        <v>280</v>
      </c>
      <c r="H81" s="1" t="s">
        <v>895</v>
      </c>
      <c r="I81" s="1" t="s">
        <v>896</v>
      </c>
      <c r="J81" s="1" t="s">
        <v>43</v>
      </c>
    </row>
    <row r="82">
      <c r="A82" s="3">
        <v>89395.0</v>
      </c>
      <c r="B82" s="1" t="s">
        <v>897</v>
      </c>
      <c r="C82" s="4">
        <v>46117.65582175926</v>
      </c>
      <c r="D82" s="1" t="s">
        <v>690</v>
      </c>
      <c r="E82" s="1" t="s">
        <v>898</v>
      </c>
      <c r="F82" s="3">
        <v>8.708638847E9</v>
      </c>
      <c r="G82" s="1" t="s">
        <v>46</v>
      </c>
      <c r="H82" s="1" t="s">
        <v>124</v>
      </c>
      <c r="I82" s="1" t="s">
        <v>899</v>
      </c>
      <c r="J82" s="1" t="s">
        <v>43</v>
      </c>
    </row>
    <row r="83">
      <c r="A83" s="3">
        <v>89396.0</v>
      </c>
      <c r="B83" s="1" t="s">
        <v>900</v>
      </c>
      <c r="C83" s="4">
        <v>46117.82275462963</v>
      </c>
      <c r="D83" s="1" t="s">
        <v>694</v>
      </c>
      <c r="E83" s="1" t="s">
        <v>901</v>
      </c>
      <c r="F83" s="3">
        <v>9.502136412E9</v>
      </c>
      <c r="G83" s="1" t="s">
        <v>46</v>
      </c>
      <c r="H83" s="1" t="s">
        <v>746</v>
      </c>
      <c r="I83" s="1" t="s">
        <v>902</v>
      </c>
      <c r="J83" s="1" t="s">
        <v>43</v>
      </c>
    </row>
    <row r="84">
      <c r="A84" s="3">
        <v>89397.0</v>
      </c>
      <c r="B84" s="1" t="s">
        <v>903</v>
      </c>
      <c r="C84" s="4">
        <v>46117.8315162037</v>
      </c>
      <c r="D84" s="1" t="s">
        <v>694</v>
      </c>
      <c r="E84" s="1" t="s">
        <v>904</v>
      </c>
      <c r="F84" s="3">
        <v>9.123880852E9</v>
      </c>
      <c r="G84" s="1" t="s">
        <v>46</v>
      </c>
      <c r="H84" s="1" t="s">
        <v>235</v>
      </c>
      <c r="I84" s="1" t="s">
        <v>234</v>
      </c>
      <c r="J84" s="1" t="s">
        <v>43</v>
      </c>
    </row>
    <row r="85">
      <c r="A85" s="3">
        <v>89398.0</v>
      </c>
      <c r="B85" s="1" t="s">
        <v>905</v>
      </c>
      <c r="C85" s="4">
        <v>46117.91886574074</v>
      </c>
      <c r="D85" s="1" t="s">
        <v>694</v>
      </c>
      <c r="E85" s="1" t="s">
        <v>906</v>
      </c>
      <c r="F85" s="3">
        <v>6.281950229E9</v>
      </c>
      <c r="G85" s="1" t="s">
        <v>46</v>
      </c>
      <c r="H85" s="1" t="s">
        <v>746</v>
      </c>
      <c r="I85" s="1" t="s">
        <v>907</v>
      </c>
      <c r="J85" s="1" t="s">
        <v>43</v>
      </c>
    </row>
    <row r="86">
      <c r="A86" s="3">
        <v>89399.0</v>
      </c>
      <c r="B86" s="1" t="s">
        <v>908</v>
      </c>
      <c r="C86" s="4">
        <v>46117.938738425924</v>
      </c>
      <c r="D86" s="1" t="s">
        <v>690</v>
      </c>
      <c r="E86" s="1" t="s">
        <v>909</v>
      </c>
      <c r="F86" s="3">
        <v>8.076685596E9</v>
      </c>
      <c r="G86" s="1" t="s">
        <v>46</v>
      </c>
      <c r="H86" s="1" t="s">
        <v>53</v>
      </c>
      <c r="I86" s="1" t="s">
        <v>910</v>
      </c>
      <c r="J86" s="1" t="s">
        <v>43</v>
      </c>
    </row>
    <row r="87">
      <c r="A87" s="3">
        <v>89400.0</v>
      </c>
      <c r="B87" s="1" t="s">
        <v>911</v>
      </c>
      <c r="C87" s="4">
        <v>46117.94170138889</v>
      </c>
      <c r="D87" s="1" t="s">
        <v>694</v>
      </c>
      <c r="E87" s="1" t="s">
        <v>912</v>
      </c>
      <c r="F87" s="3">
        <v>8.904410283E9</v>
      </c>
      <c r="G87" s="1" t="s">
        <v>46</v>
      </c>
      <c r="H87" s="1" t="s">
        <v>746</v>
      </c>
      <c r="I87" s="1" t="s">
        <v>913</v>
      </c>
      <c r="J87" s="1" t="s">
        <v>43</v>
      </c>
    </row>
    <row r="88">
      <c r="A88" s="3">
        <v>89401.0</v>
      </c>
      <c r="B88" s="1" t="s">
        <v>914</v>
      </c>
      <c r="C88" s="4">
        <v>46117.97659722222</v>
      </c>
      <c r="D88" s="1" t="s">
        <v>694</v>
      </c>
      <c r="E88" s="1" t="s">
        <v>915</v>
      </c>
      <c r="F88" s="3">
        <v>7.827640757E9</v>
      </c>
      <c r="G88" s="1" t="s">
        <v>46</v>
      </c>
      <c r="H88" s="1" t="s">
        <v>241</v>
      </c>
      <c r="I88" s="1" t="s">
        <v>241</v>
      </c>
      <c r="J88" s="1" t="s">
        <v>43</v>
      </c>
    </row>
    <row r="89">
      <c r="A89" s="3">
        <v>89402.0</v>
      </c>
      <c r="B89" s="1" t="s">
        <v>916</v>
      </c>
      <c r="C89" s="4">
        <v>46118.11143518519</v>
      </c>
      <c r="D89" s="1" t="s">
        <v>690</v>
      </c>
      <c r="E89" s="1" t="s">
        <v>917</v>
      </c>
      <c r="F89" s="7" t="str">
        <f>+1 9452276672</f>
        <v>#ERROR!</v>
      </c>
      <c r="G89" s="1" t="s">
        <v>294</v>
      </c>
      <c r="H89" s="1" t="s">
        <v>918</v>
      </c>
      <c r="I89" s="1" t="s">
        <v>919</v>
      </c>
      <c r="J89" s="1" t="s">
        <v>43</v>
      </c>
    </row>
    <row r="90">
      <c r="A90" s="3">
        <v>89403.0</v>
      </c>
      <c r="B90" s="1" t="s">
        <v>920</v>
      </c>
      <c r="C90" s="4">
        <v>46118.430393518516</v>
      </c>
      <c r="D90" s="1" t="s">
        <v>690</v>
      </c>
      <c r="E90" s="1" t="s">
        <v>921</v>
      </c>
      <c r="F90" s="3">
        <v>9.893764E9</v>
      </c>
      <c r="G90" s="1" t="s">
        <v>46</v>
      </c>
      <c r="H90" s="1" t="s">
        <v>63</v>
      </c>
      <c r="I90" s="1" t="s">
        <v>97</v>
      </c>
      <c r="J90" s="1" t="s">
        <v>43</v>
      </c>
    </row>
    <row r="91">
      <c r="A91" s="3">
        <v>89404.0</v>
      </c>
      <c r="B91" s="1" t="s">
        <v>922</v>
      </c>
      <c r="C91" s="4">
        <v>46118.4375</v>
      </c>
      <c r="D91" s="1" t="s">
        <v>694</v>
      </c>
      <c r="E91" s="1" t="s">
        <v>923</v>
      </c>
      <c r="F91" s="3">
        <v>9.4492166E9</v>
      </c>
      <c r="G91" s="1" t="s">
        <v>46</v>
      </c>
      <c r="H91" s="1" t="s">
        <v>152</v>
      </c>
      <c r="I91" s="1" t="s">
        <v>151</v>
      </c>
      <c r="J91" s="7"/>
      <c r="K91" s="7"/>
    </row>
    <row r="92">
      <c r="A92" s="3">
        <v>89405.0</v>
      </c>
      <c r="B92" s="1" t="s">
        <v>924</v>
      </c>
      <c r="C92" s="4">
        <v>46118.446851851855</v>
      </c>
      <c r="D92" s="1" t="s">
        <v>694</v>
      </c>
      <c r="E92" s="1" t="s">
        <v>925</v>
      </c>
      <c r="F92" s="10">
        <v>9.185E11</v>
      </c>
      <c r="G92" s="1" t="s">
        <v>46</v>
      </c>
      <c r="H92" s="1" t="s">
        <v>746</v>
      </c>
      <c r="I92" s="1" t="s">
        <v>837</v>
      </c>
      <c r="J92" s="1" t="s">
        <v>43</v>
      </c>
    </row>
    <row r="93">
      <c r="A93" s="3">
        <v>89406.0</v>
      </c>
      <c r="B93" s="1" t="s">
        <v>926</v>
      </c>
      <c r="C93" s="4">
        <v>46118.499756944446</v>
      </c>
      <c r="D93" s="1" t="s">
        <v>694</v>
      </c>
      <c r="E93" s="7"/>
      <c r="F93" s="7"/>
      <c r="G93" s="1" t="s">
        <v>46</v>
      </c>
      <c r="H93" s="1" t="s">
        <v>63</v>
      </c>
      <c r="I93" s="1" t="s">
        <v>85</v>
      </c>
      <c r="J93" s="1" t="s">
        <v>43</v>
      </c>
    </row>
    <row r="94">
      <c r="A94" s="3">
        <v>89407.0</v>
      </c>
      <c r="B94" s="1" t="s">
        <v>927</v>
      </c>
      <c r="C94" s="4">
        <v>46118.59473379629</v>
      </c>
      <c r="D94" s="1" t="s">
        <v>694</v>
      </c>
      <c r="E94" s="1" t="s">
        <v>928</v>
      </c>
      <c r="F94" s="3">
        <v>7.86079898E9</v>
      </c>
      <c r="G94" s="1" t="s">
        <v>46</v>
      </c>
      <c r="H94" s="1" t="s">
        <v>53</v>
      </c>
      <c r="I94" s="1" t="s">
        <v>712</v>
      </c>
      <c r="J94" s="1" t="s">
        <v>43</v>
      </c>
    </row>
    <row r="95">
      <c r="A95" s="3">
        <v>89408.0</v>
      </c>
      <c r="B95" s="1" t="s">
        <v>929</v>
      </c>
      <c r="C95" s="4">
        <v>46118.65116898148</v>
      </c>
      <c r="D95" s="1" t="s">
        <v>694</v>
      </c>
      <c r="E95" s="1" t="s">
        <v>930</v>
      </c>
      <c r="F95" s="3">
        <v>9.704760984E9</v>
      </c>
      <c r="G95" s="1" t="s">
        <v>46</v>
      </c>
      <c r="H95" s="1" t="s">
        <v>746</v>
      </c>
      <c r="I95" s="1" t="s">
        <v>820</v>
      </c>
      <c r="J95" s="1" t="s">
        <v>43</v>
      </c>
    </row>
    <row r="96">
      <c r="A96" s="3">
        <v>89409.0</v>
      </c>
      <c r="B96" s="1" t="s">
        <v>931</v>
      </c>
      <c r="C96" s="4">
        <v>46118.671319444446</v>
      </c>
      <c r="D96" s="1" t="s">
        <v>694</v>
      </c>
      <c r="E96" s="1" t="s">
        <v>932</v>
      </c>
      <c r="F96" s="3">
        <v>9.910062164E9</v>
      </c>
      <c r="G96" s="1" t="s">
        <v>46</v>
      </c>
      <c r="H96" s="1" t="s">
        <v>152</v>
      </c>
      <c r="I96" s="1" t="s">
        <v>151</v>
      </c>
      <c r="J96" s="1" t="s">
        <v>43</v>
      </c>
    </row>
    <row r="97">
      <c r="A97" s="3">
        <v>89410.0</v>
      </c>
      <c r="B97" s="1" t="s">
        <v>933</v>
      </c>
      <c r="C97" s="4">
        <v>46118.68212962963</v>
      </c>
      <c r="D97" s="1" t="s">
        <v>690</v>
      </c>
      <c r="E97" s="1" t="s">
        <v>934</v>
      </c>
      <c r="F97" s="3">
        <v>9.662560225E9</v>
      </c>
      <c r="G97" s="1" t="s">
        <v>46</v>
      </c>
      <c r="H97" s="1" t="s">
        <v>198</v>
      </c>
      <c r="I97" s="1" t="s">
        <v>935</v>
      </c>
      <c r="J97" s="7"/>
      <c r="K97" s="7"/>
    </row>
    <row r="98">
      <c r="A98" s="3">
        <v>89411.0</v>
      </c>
      <c r="B98" s="1" t="s">
        <v>936</v>
      </c>
      <c r="C98" s="4">
        <v>46118.68630787037</v>
      </c>
      <c r="D98" s="1" t="s">
        <v>690</v>
      </c>
      <c r="E98" s="1" t="s">
        <v>937</v>
      </c>
      <c r="F98" s="3">
        <v>8.076088287E9</v>
      </c>
      <c r="G98" s="1" t="s">
        <v>46</v>
      </c>
      <c r="H98" s="1" t="s">
        <v>241</v>
      </c>
      <c r="I98" s="1" t="s">
        <v>275</v>
      </c>
      <c r="J98" s="1" t="s">
        <v>468</v>
      </c>
    </row>
    <row r="99">
      <c r="A99" s="3">
        <v>89412.0</v>
      </c>
      <c r="B99" s="1" t="s">
        <v>938</v>
      </c>
      <c r="C99" s="4">
        <v>46118.68659722222</v>
      </c>
      <c r="D99" s="1" t="s">
        <v>694</v>
      </c>
      <c r="E99" s="1" t="s">
        <v>939</v>
      </c>
      <c r="F99" s="3">
        <v>8.008121264E9</v>
      </c>
      <c r="G99" s="1" t="s">
        <v>46</v>
      </c>
      <c r="H99" s="1" t="s">
        <v>104</v>
      </c>
      <c r="I99" s="1" t="s">
        <v>103</v>
      </c>
      <c r="J99" s="1" t="s">
        <v>43</v>
      </c>
    </row>
    <row r="100">
      <c r="A100" s="3">
        <v>89413.0</v>
      </c>
      <c r="B100" s="1" t="s">
        <v>940</v>
      </c>
      <c r="C100" s="4">
        <v>46118.70377314815</v>
      </c>
      <c r="D100" s="1" t="s">
        <v>694</v>
      </c>
      <c r="E100" s="1" t="s">
        <v>941</v>
      </c>
      <c r="F100" s="3">
        <v>9.182287701E9</v>
      </c>
      <c r="G100" s="1" t="s">
        <v>46</v>
      </c>
      <c r="H100" s="1" t="s">
        <v>63</v>
      </c>
      <c r="I100" s="1" t="s">
        <v>942</v>
      </c>
      <c r="J100" s="1" t="s">
        <v>43</v>
      </c>
    </row>
    <row r="101">
      <c r="A101" s="3">
        <v>89414.0</v>
      </c>
      <c r="B101" s="1" t="s">
        <v>943</v>
      </c>
      <c r="C101" s="4">
        <v>46118.70576388889</v>
      </c>
      <c r="E101" s="1" t="s">
        <v>944</v>
      </c>
      <c r="F101" s="3">
        <v>9.739292926E9</v>
      </c>
      <c r="G101" s="7"/>
      <c r="H101" s="7"/>
      <c r="I101" s="7"/>
      <c r="J101" s="1" t="s">
        <v>945</v>
      </c>
    </row>
    <row r="102">
      <c r="A102" s="3">
        <v>89415.0</v>
      </c>
      <c r="B102" s="1" t="s">
        <v>946</v>
      </c>
      <c r="C102" s="4">
        <v>46118.754155092596</v>
      </c>
      <c r="D102" s="1" t="s">
        <v>694</v>
      </c>
      <c r="E102" s="1" t="s">
        <v>947</v>
      </c>
      <c r="F102" s="3">
        <v>8.851116572E9</v>
      </c>
      <c r="G102" s="1" t="s">
        <v>46</v>
      </c>
      <c r="H102" s="1" t="s">
        <v>124</v>
      </c>
      <c r="I102" s="1" t="s">
        <v>160</v>
      </c>
      <c r="J102" s="1" t="s">
        <v>43</v>
      </c>
    </row>
    <row r="103">
      <c r="A103" s="3">
        <v>89416.0</v>
      </c>
      <c r="B103" s="1" t="s">
        <v>948</v>
      </c>
      <c r="C103" s="4">
        <v>46118.79224537037</v>
      </c>
      <c r="D103" s="1" t="s">
        <v>694</v>
      </c>
      <c r="E103" s="1" t="s">
        <v>949</v>
      </c>
      <c r="F103" s="3">
        <v>7.406978913E9</v>
      </c>
      <c r="G103" s="1" t="s">
        <v>46</v>
      </c>
      <c r="H103" s="1" t="s">
        <v>152</v>
      </c>
      <c r="I103" s="1" t="s">
        <v>950</v>
      </c>
      <c r="J103" s="1" t="s">
        <v>43</v>
      </c>
    </row>
    <row r="104">
      <c r="A104" s="3">
        <v>89417.0</v>
      </c>
      <c r="B104" s="1" t="s">
        <v>951</v>
      </c>
      <c r="C104" s="4">
        <v>46118.845</v>
      </c>
      <c r="D104" s="1" t="s">
        <v>694</v>
      </c>
      <c r="E104" s="1" t="s">
        <v>952</v>
      </c>
      <c r="F104" s="3">
        <v>7.044644223E9</v>
      </c>
      <c r="G104" s="1" t="s">
        <v>46</v>
      </c>
      <c r="H104" s="1" t="s">
        <v>63</v>
      </c>
      <c r="I104" s="1" t="s">
        <v>85</v>
      </c>
      <c r="J104" s="1" t="s">
        <v>43</v>
      </c>
    </row>
    <row r="105">
      <c r="A105" s="3">
        <v>89418.0</v>
      </c>
      <c r="B105" s="1" t="s">
        <v>953</v>
      </c>
      <c r="C105" s="4">
        <v>46118.90056712963</v>
      </c>
      <c r="D105" s="1" t="s">
        <v>690</v>
      </c>
      <c r="E105" s="1" t="s">
        <v>954</v>
      </c>
      <c r="F105" s="3">
        <v>7.29783227E9</v>
      </c>
      <c r="G105" s="1" t="s">
        <v>46</v>
      </c>
      <c r="H105" s="1" t="s">
        <v>746</v>
      </c>
      <c r="I105" s="1" t="s">
        <v>955</v>
      </c>
      <c r="J105" s="1" t="s">
        <v>43</v>
      </c>
    </row>
    <row r="106">
      <c r="A106" s="3">
        <v>89419.0</v>
      </c>
      <c r="B106" s="1" t="s">
        <v>956</v>
      </c>
      <c r="C106" s="4">
        <v>46118.998564814814</v>
      </c>
      <c r="D106" s="1" t="s">
        <v>694</v>
      </c>
      <c r="E106" s="1" t="s">
        <v>957</v>
      </c>
      <c r="F106" s="3">
        <v>7.00768545E9</v>
      </c>
      <c r="G106" s="1" t="s">
        <v>46</v>
      </c>
      <c r="H106" s="1" t="s">
        <v>53</v>
      </c>
      <c r="I106" s="1" t="s">
        <v>110</v>
      </c>
      <c r="J106" s="1" t="s">
        <v>43</v>
      </c>
    </row>
    <row r="107">
      <c r="A107" s="3">
        <v>89420.0</v>
      </c>
      <c r="B107" s="1" t="s">
        <v>958</v>
      </c>
      <c r="C107" s="4">
        <v>46119.04739583333</v>
      </c>
      <c r="D107" s="1" t="s">
        <v>694</v>
      </c>
      <c r="E107" s="1" t="s">
        <v>959</v>
      </c>
      <c r="F107" s="10">
        <v>1.6505E10</v>
      </c>
      <c r="G107" s="1" t="s">
        <v>294</v>
      </c>
      <c r="H107" s="1" t="s">
        <v>960</v>
      </c>
      <c r="I107" s="1" t="s">
        <v>961</v>
      </c>
      <c r="J107" s="1" t="s">
        <v>43</v>
      </c>
    </row>
    <row r="108">
      <c r="A108" s="3">
        <v>89421.0</v>
      </c>
      <c r="B108" s="1" t="s">
        <v>962</v>
      </c>
      <c r="C108" s="4">
        <v>46119.378229166665</v>
      </c>
      <c r="D108" s="1" t="s">
        <v>690</v>
      </c>
      <c r="E108" s="1" t="s">
        <v>963</v>
      </c>
      <c r="F108" s="3">
        <v>9.258953622E9</v>
      </c>
      <c r="G108" s="1" t="s">
        <v>294</v>
      </c>
      <c r="H108" s="1" t="s">
        <v>964</v>
      </c>
      <c r="I108" s="1" t="s">
        <v>965</v>
      </c>
      <c r="J108" s="1" t="s">
        <v>43</v>
      </c>
    </row>
    <row r="109">
      <c r="A109" s="3">
        <v>89422.0</v>
      </c>
      <c r="B109" s="1" t="s">
        <v>966</v>
      </c>
      <c r="C109" s="4">
        <v>46119.41744212963</v>
      </c>
      <c r="D109" s="1" t="s">
        <v>694</v>
      </c>
      <c r="E109" s="1" t="s">
        <v>967</v>
      </c>
      <c r="F109" s="10">
        <v>9.1911E11</v>
      </c>
      <c r="G109" s="1" t="s">
        <v>46</v>
      </c>
      <c r="H109" s="1" t="s">
        <v>152</v>
      </c>
      <c r="I109" s="1" t="s">
        <v>968</v>
      </c>
      <c r="J109" s="1" t="s">
        <v>43</v>
      </c>
    </row>
    <row r="110">
      <c r="A110" s="3">
        <v>89423.0</v>
      </c>
      <c r="B110" s="1" t="s">
        <v>969</v>
      </c>
      <c r="C110" s="4">
        <v>46119.486550925925</v>
      </c>
      <c r="D110" s="1" t="s">
        <v>690</v>
      </c>
      <c r="E110" s="1" t="s">
        <v>970</v>
      </c>
      <c r="F110" s="3">
        <v>7.993501448E9</v>
      </c>
      <c r="G110" s="1" t="s">
        <v>46</v>
      </c>
      <c r="H110" s="1" t="s">
        <v>746</v>
      </c>
      <c r="I110" s="1" t="s">
        <v>971</v>
      </c>
      <c r="J110" s="1" t="s">
        <v>43</v>
      </c>
    </row>
    <row r="111">
      <c r="A111" s="3">
        <v>89424.0</v>
      </c>
      <c r="B111" s="1" t="s">
        <v>972</v>
      </c>
      <c r="C111" s="4">
        <v>46119.57032407408</v>
      </c>
      <c r="D111" s="1" t="s">
        <v>694</v>
      </c>
      <c r="E111" s="1" t="s">
        <v>973</v>
      </c>
      <c r="F111" s="3">
        <v>9.557324941E9</v>
      </c>
      <c r="G111" s="1" t="s">
        <v>46</v>
      </c>
      <c r="H111" s="1" t="s">
        <v>241</v>
      </c>
      <c r="I111" s="1" t="s">
        <v>275</v>
      </c>
      <c r="J111" s="1" t="s">
        <v>43</v>
      </c>
    </row>
    <row r="112">
      <c r="A112" s="3">
        <v>89425.0</v>
      </c>
      <c r="B112" s="1" t="s">
        <v>974</v>
      </c>
      <c r="C112" s="4">
        <v>46119.64809027778</v>
      </c>
      <c r="D112" s="1" t="s">
        <v>694</v>
      </c>
      <c r="E112" s="1" t="s">
        <v>975</v>
      </c>
      <c r="F112" s="3">
        <v>9.354332324E9</v>
      </c>
      <c r="G112" s="1" t="s">
        <v>46</v>
      </c>
      <c r="H112" s="1" t="s">
        <v>241</v>
      </c>
      <c r="I112" s="1" t="s">
        <v>275</v>
      </c>
      <c r="J112" s="1" t="s">
        <v>43</v>
      </c>
    </row>
    <row r="113">
      <c r="A113" s="3">
        <v>89426.0</v>
      </c>
      <c r="B113" s="1" t="s">
        <v>976</v>
      </c>
      <c r="C113" s="4">
        <v>46119.667905092596</v>
      </c>
      <c r="D113" s="1" t="s">
        <v>694</v>
      </c>
      <c r="E113" s="1" t="s">
        <v>977</v>
      </c>
      <c r="F113" s="7" t="str">
        <f>+968 97235670</f>
        <v>#ERROR!</v>
      </c>
      <c r="G113" s="1" t="s">
        <v>849</v>
      </c>
      <c r="H113" s="1" t="s">
        <v>850</v>
      </c>
      <c r="I113" s="1" t="s">
        <v>978</v>
      </c>
      <c r="J113" s="1" t="s">
        <v>43</v>
      </c>
    </row>
    <row r="114">
      <c r="A114" s="3">
        <v>89427.0</v>
      </c>
      <c r="B114" s="1" t="s">
        <v>979</v>
      </c>
      <c r="C114" s="4">
        <v>46119.712592592594</v>
      </c>
      <c r="D114" s="1" t="s">
        <v>694</v>
      </c>
      <c r="E114" s="1" t="s">
        <v>980</v>
      </c>
      <c r="F114" s="3">
        <v>8.000288635E9</v>
      </c>
      <c r="G114" s="1" t="s">
        <v>46</v>
      </c>
      <c r="H114" s="1" t="s">
        <v>285</v>
      </c>
      <c r="I114" s="1" t="s">
        <v>736</v>
      </c>
      <c r="J114" s="1" t="s">
        <v>43</v>
      </c>
    </row>
    <row r="115">
      <c r="A115" s="3">
        <v>89428.0</v>
      </c>
      <c r="B115" s="1" t="s">
        <v>981</v>
      </c>
      <c r="C115" s="4">
        <v>46119.73216435185</v>
      </c>
      <c r="D115" s="1" t="s">
        <v>694</v>
      </c>
      <c r="E115" s="1" t="s">
        <v>982</v>
      </c>
      <c r="F115" s="3">
        <v>9.082201802E9</v>
      </c>
      <c r="G115" s="1" t="s">
        <v>46</v>
      </c>
      <c r="H115" s="1" t="s">
        <v>63</v>
      </c>
      <c r="I115" s="1" t="s">
        <v>85</v>
      </c>
      <c r="J115" s="1" t="s">
        <v>43</v>
      </c>
    </row>
    <row r="116">
      <c r="A116" s="3">
        <v>89429.0</v>
      </c>
      <c r="B116" s="1" t="s">
        <v>983</v>
      </c>
      <c r="C116" s="4">
        <v>46119.745104166665</v>
      </c>
      <c r="D116" s="1" t="s">
        <v>694</v>
      </c>
      <c r="E116" s="1" t="s">
        <v>984</v>
      </c>
      <c r="F116" s="3">
        <v>8.951866264E9</v>
      </c>
      <c r="G116" s="1" t="s">
        <v>46</v>
      </c>
      <c r="H116" s="1" t="s">
        <v>152</v>
      </c>
      <c r="I116" s="1" t="s">
        <v>151</v>
      </c>
      <c r="J116" s="1" t="s">
        <v>43</v>
      </c>
    </row>
    <row r="117">
      <c r="A117" s="3">
        <v>89430.0</v>
      </c>
      <c r="B117" s="1" t="s">
        <v>985</v>
      </c>
      <c r="C117" s="4">
        <v>46119.76834490741</v>
      </c>
      <c r="D117" s="1" t="s">
        <v>694</v>
      </c>
      <c r="E117" s="1" t="s">
        <v>986</v>
      </c>
      <c r="F117" s="3">
        <v>9.863646605E9</v>
      </c>
      <c r="G117" s="1" t="s">
        <v>46</v>
      </c>
      <c r="H117" s="1" t="s">
        <v>987</v>
      </c>
      <c r="I117" s="1" t="s">
        <v>988</v>
      </c>
      <c r="J117" s="1" t="s">
        <v>43</v>
      </c>
    </row>
    <row r="118">
      <c r="A118" s="3">
        <v>89431.0</v>
      </c>
      <c r="B118" s="1" t="s">
        <v>989</v>
      </c>
      <c r="C118" s="4">
        <v>46119.81186342592</v>
      </c>
      <c r="D118" s="1" t="s">
        <v>690</v>
      </c>
      <c r="E118" s="1" t="s">
        <v>990</v>
      </c>
      <c r="F118" s="3">
        <v>8.897232486E9</v>
      </c>
      <c r="G118" s="1" t="s">
        <v>46</v>
      </c>
      <c r="H118" s="1" t="s">
        <v>104</v>
      </c>
      <c r="I118" s="1" t="s">
        <v>103</v>
      </c>
      <c r="J118" s="1" t="s">
        <v>43</v>
      </c>
    </row>
    <row r="119">
      <c r="A119" s="3">
        <v>89432.0</v>
      </c>
      <c r="B119" s="1" t="s">
        <v>991</v>
      </c>
      <c r="C119" s="4">
        <v>46119.84465277778</v>
      </c>
      <c r="D119" s="1" t="s">
        <v>690</v>
      </c>
      <c r="E119" s="1" t="s">
        <v>992</v>
      </c>
      <c r="F119" s="10">
        <v>4.6763E10</v>
      </c>
      <c r="G119" s="1" t="s">
        <v>993</v>
      </c>
      <c r="H119" s="1" t="s">
        <v>994</v>
      </c>
      <c r="I119" s="1" t="s">
        <v>994</v>
      </c>
      <c r="J119" s="1" t="s">
        <v>43</v>
      </c>
    </row>
    <row r="120">
      <c r="A120" s="3">
        <v>89433.0</v>
      </c>
      <c r="B120" s="1" t="s">
        <v>995</v>
      </c>
      <c r="C120" s="4">
        <v>46119.931666666664</v>
      </c>
      <c r="D120" s="1" t="s">
        <v>690</v>
      </c>
      <c r="E120" s="1" t="s">
        <v>996</v>
      </c>
      <c r="F120" s="3">
        <v>8.91744636E9</v>
      </c>
      <c r="G120" s="1" t="s">
        <v>46</v>
      </c>
      <c r="H120" s="1" t="s">
        <v>715</v>
      </c>
      <c r="I120" s="1" t="s">
        <v>997</v>
      </c>
      <c r="J120" s="1" t="s">
        <v>43</v>
      </c>
    </row>
    <row r="121">
      <c r="A121" s="3">
        <v>89434.0</v>
      </c>
      <c r="B121" s="1" t="s">
        <v>998</v>
      </c>
      <c r="C121" s="4">
        <v>46119.95457175926</v>
      </c>
      <c r="D121" s="1" t="s">
        <v>690</v>
      </c>
      <c r="E121" s="1" t="s">
        <v>999</v>
      </c>
      <c r="F121" s="1" t="s">
        <v>1000</v>
      </c>
      <c r="G121" s="1" t="s">
        <v>294</v>
      </c>
      <c r="H121" s="1" t="s">
        <v>964</v>
      </c>
      <c r="I121" s="1" t="s">
        <v>1001</v>
      </c>
      <c r="J121" s="1" t="s">
        <v>43</v>
      </c>
    </row>
    <row r="122">
      <c r="A122" s="3">
        <v>89435.0</v>
      </c>
      <c r="B122" s="1" t="s">
        <v>1002</v>
      </c>
      <c r="C122" s="4">
        <v>46119.96362268519</v>
      </c>
      <c r="D122" s="1" t="s">
        <v>690</v>
      </c>
      <c r="E122" s="1" t="s">
        <v>1003</v>
      </c>
      <c r="F122" s="3">
        <v>9.518496042E9</v>
      </c>
      <c r="G122" s="1" t="s">
        <v>46</v>
      </c>
      <c r="H122" s="1" t="s">
        <v>124</v>
      </c>
      <c r="I122" s="1" t="s">
        <v>899</v>
      </c>
      <c r="J122" s="1" t="s">
        <v>43</v>
      </c>
    </row>
    <row r="123">
      <c r="A123" s="3">
        <v>89436.0</v>
      </c>
      <c r="B123" s="1" t="s">
        <v>1004</v>
      </c>
      <c r="C123" s="4">
        <v>46120.00082175926</v>
      </c>
      <c r="D123" s="1" t="s">
        <v>694</v>
      </c>
      <c r="E123" s="1" t="s">
        <v>1005</v>
      </c>
      <c r="F123" s="10">
        <v>9.6656E11</v>
      </c>
      <c r="G123" s="1" t="s">
        <v>1006</v>
      </c>
      <c r="H123" s="1" t="s">
        <v>1007</v>
      </c>
      <c r="I123" s="1" t="s">
        <v>1007</v>
      </c>
      <c r="J123" s="1" t="s">
        <v>43</v>
      </c>
    </row>
    <row r="124">
      <c r="A124" s="3">
        <v>89437.0</v>
      </c>
      <c r="B124" s="1" t="s">
        <v>1008</v>
      </c>
      <c r="C124" s="4">
        <v>46120.34291666667</v>
      </c>
      <c r="D124" s="1" t="s">
        <v>694</v>
      </c>
      <c r="E124" s="1" t="s">
        <v>1009</v>
      </c>
      <c r="F124" s="10">
        <v>9.1807E11</v>
      </c>
      <c r="G124" s="1" t="s">
        <v>46</v>
      </c>
      <c r="H124" s="1" t="s">
        <v>152</v>
      </c>
      <c r="I124" s="1" t="s">
        <v>1010</v>
      </c>
      <c r="J124" s="1" t="s">
        <v>43</v>
      </c>
    </row>
    <row r="125">
      <c r="A125" s="3">
        <v>89438.0</v>
      </c>
      <c r="B125" s="1" t="s">
        <v>1011</v>
      </c>
      <c r="C125" s="4">
        <v>46120.461226851854</v>
      </c>
      <c r="D125" s="1" t="s">
        <v>694</v>
      </c>
      <c r="E125" s="1" t="s">
        <v>1012</v>
      </c>
      <c r="F125" s="3">
        <v>9.346061298E9</v>
      </c>
      <c r="G125" s="1" t="s">
        <v>46</v>
      </c>
      <c r="H125" s="1" t="s">
        <v>152</v>
      </c>
      <c r="I125" s="1" t="s">
        <v>151</v>
      </c>
      <c r="J125" s="1" t="s">
        <v>43</v>
      </c>
    </row>
    <row r="126">
      <c r="A126" s="3">
        <v>89439.0</v>
      </c>
      <c r="B126" s="1" t="s">
        <v>1013</v>
      </c>
      <c r="C126" s="4">
        <v>46120.47783564815</v>
      </c>
      <c r="D126" s="1" t="s">
        <v>694</v>
      </c>
      <c r="E126" s="1" t="s">
        <v>1014</v>
      </c>
      <c r="F126" s="3">
        <v>8.903460079E9</v>
      </c>
      <c r="G126" s="1" t="s">
        <v>46</v>
      </c>
      <c r="H126" s="1" t="s">
        <v>118</v>
      </c>
      <c r="I126" s="1" t="s">
        <v>1015</v>
      </c>
      <c r="J126" s="1" t="s">
        <v>43</v>
      </c>
    </row>
    <row r="127">
      <c r="A127" s="3">
        <v>89440.0</v>
      </c>
      <c r="B127" s="1" t="s">
        <v>1016</v>
      </c>
      <c r="C127" s="4">
        <v>46120.49631944444</v>
      </c>
      <c r="D127" s="1" t="s">
        <v>690</v>
      </c>
      <c r="E127" s="1" t="s">
        <v>1017</v>
      </c>
      <c r="F127" s="3">
        <v>9.999892505E9</v>
      </c>
      <c r="G127" s="1" t="s">
        <v>46</v>
      </c>
      <c r="H127" s="1" t="s">
        <v>124</v>
      </c>
      <c r="I127" s="1" t="s">
        <v>315</v>
      </c>
      <c r="J127" s="1" t="s">
        <v>43</v>
      </c>
    </row>
    <row r="128">
      <c r="A128" s="3">
        <v>89441.0</v>
      </c>
      <c r="B128" s="1" t="s">
        <v>1018</v>
      </c>
      <c r="C128" s="4">
        <v>46120.50641203704</v>
      </c>
      <c r="D128" s="1" t="s">
        <v>694</v>
      </c>
      <c r="E128" s="1" t="s">
        <v>1019</v>
      </c>
      <c r="F128" s="3">
        <v>9.830549207E9</v>
      </c>
      <c r="G128" s="1" t="s">
        <v>46</v>
      </c>
      <c r="H128" s="1" t="s">
        <v>235</v>
      </c>
      <c r="I128" s="1" t="s">
        <v>234</v>
      </c>
      <c r="J128" s="1" t="s">
        <v>43</v>
      </c>
    </row>
    <row r="129">
      <c r="A129" s="3">
        <v>89442.0</v>
      </c>
      <c r="B129" s="1" t="s">
        <v>1020</v>
      </c>
      <c r="C129" s="4">
        <v>46120.521516203706</v>
      </c>
      <c r="D129" s="1" t="s">
        <v>690</v>
      </c>
      <c r="E129" s="1" t="s">
        <v>1021</v>
      </c>
      <c r="F129" s="3">
        <v>6.209356535E9</v>
      </c>
      <c r="G129" s="1" t="s">
        <v>46</v>
      </c>
      <c r="H129" s="1" t="s">
        <v>241</v>
      </c>
      <c r="I129" s="1" t="s">
        <v>275</v>
      </c>
      <c r="J129" s="1" t="s">
        <v>43</v>
      </c>
    </row>
    <row r="130">
      <c r="A130" s="3">
        <v>89443.0</v>
      </c>
      <c r="B130" s="1" t="s">
        <v>1022</v>
      </c>
      <c r="C130" s="4">
        <v>46120.56894675926</v>
      </c>
      <c r="D130" s="1" t="s">
        <v>694</v>
      </c>
      <c r="E130" s="1" t="s">
        <v>1023</v>
      </c>
      <c r="F130" s="3">
        <v>8.001154506E9</v>
      </c>
      <c r="G130" s="1" t="s">
        <v>46</v>
      </c>
      <c r="H130" s="1" t="s">
        <v>235</v>
      </c>
      <c r="I130" s="1" t="s">
        <v>1024</v>
      </c>
      <c r="J130" s="1" t="s">
        <v>43</v>
      </c>
    </row>
    <row r="131">
      <c r="A131" s="3">
        <v>89444.0</v>
      </c>
      <c r="B131" s="1" t="s">
        <v>1025</v>
      </c>
      <c r="C131" s="4">
        <v>46120.57518518518</v>
      </c>
      <c r="D131" s="1" t="s">
        <v>690</v>
      </c>
      <c r="E131" s="1" t="s">
        <v>1026</v>
      </c>
      <c r="F131" s="3">
        <v>9.817612339E9</v>
      </c>
      <c r="G131" s="1" t="s">
        <v>46</v>
      </c>
      <c r="H131" s="1" t="s">
        <v>45</v>
      </c>
      <c r="I131" s="1" t="s">
        <v>44</v>
      </c>
      <c r="J131" s="1" t="s">
        <v>43</v>
      </c>
    </row>
    <row r="132">
      <c r="A132" s="3">
        <v>89445.0</v>
      </c>
      <c r="B132" s="1" t="s">
        <v>1027</v>
      </c>
      <c r="C132" s="4">
        <v>46120.57991898148</v>
      </c>
      <c r="D132" s="1" t="s">
        <v>694</v>
      </c>
      <c r="E132" s="1" t="s">
        <v>1028</v>
      </c>
      <c r="F132" s="10">
        <v>9.185E11</v>
      </c>
      <c r="G132" s="1" t="s">
        <v>46</v>
      </c>
      <c r="H132" s="1" t="s">
        <v>104</v>
      </c>
      <c r="I132" s="1" t="s">
        <v>1029</v>
      </c>
      <c r="J132" s="1" t="s">
        <v>43</v>
      </c>
    </row>
    <row r="133">
      <c r="A133" s="3">
        <v>89446.0</v>
      </c>
      <c r="B133" s="1" t="s">
        <v>1030</v>
      </c>
      <c r="C133" s="4">
        <v>46120.59502314815</v>
      </c>
      <c r="D133" s="1" t="s">
        <v>690</v>
      </c>
      <c r="E133" s="1" t="s">
        <v>1031</v>
      </c>
      <c r="F133" s="3">
        <v>6.005547195E9</v>
      </c>
      <c r="G133" s="1" t="s">
        <v>46</v>
      </c>
      <c r="H133" s="1" t="s">
        <v>241</v>
      </c>
      <c r="I133" s="1" t="s">
        <v>241</v>
      </c>
      <c r="J133" s="1" t="s">
        <v>43</v>
      </c>
    </row>
    <row r="134">
      <c r="A134" s="3">
        <v>89447.0</v>
      </c>
      <c r="B134" s="1" t="s">
        <v>1032</v>
      </c>
      <c r="C134" s="4">
        <v>46120.599375</v>
      </c>
      <c r="D134" s="1" t="s">
        <v>690</v>
      </c>
      <c r="E134" s="1" t="s">
        <v>1033</v>
      </c>
      <c r="F134" s="3">
        <v>9.049035487E9</v>
      </c>
      <c r="G134" s="1" t="s">
        <v>46</v>
      </c>
      <c r="H134" s="1" t="s">
        <v>63</v>
      </c>
      <c r="I134" s="1" t="s">
        <v>892</v>
      </c>
      <c r="J134" s="1" t="s">
        <v>43</v>
      </c>
    </row>
    <row r="135">
      <c r="A135" s="3">
        <v>89448.0</v>
      </c>
      <c r="B135" s="1" t="s">
        <v>1034</v>
      </c>
      <c r="C135" s="4">
        <v>46120.606574074074</v>
      </c>
      <c r="D135" s="1" t="s">
        <v>694</v>
      </c>
      <c r="E135" s="1" t="s">
        <v>1035</v>
      </c>
      <c r="F135" s="3">
        <v>8.076821239E9</v>
      </c>
      <c r="G135" s="1" t="s">
        <v>46</v>
      </c>
      <c r="H135" s="1" t="s">
        <v>241</v>
      </c>
      <c r="I135" s="1" t="s">
        <v>241</v>
      </c>
      <c r="J135" s="7"/>
      <c r="K135" s="7"/>
    </row>
    <row r="136">
      <c r="A136" s="3">
        <v>89449.0</v>
      </c>
      <c r="B136" s="1" t="s">
        <v>1036</v>
      </c>
      <c r="C136" s="4">
        <v>46120.64640046296</v>
      </c>
      <c r="D136" s="1" t="s">
        <v>694</v>
      </c>
      <c r="E136" s="1" t="s">
        <v>1037</v>
      </c>
      <c r="F136" s="3">
        <v>9.960201188E9</v>
      </c>
      <c r="G136" s="1" t="s">
        <v>46</v>
      </c>
      <c r="H136" s="1" t="s">
        <v>63</v>
      </c>
      <c r="I136" s="1" t="s">
        <v>325</v>
      </c>
      <c r="J136" s="1" t="s">
        <v>43</v>
      </c>
    </row>
    <row r="137">
      <c r="A137" s="3">
        <v>89450.0</v>
      </c>
      <c r="B137" s="1" t="s">
        <v>1038</v>
      </c>
      <c r="C137" s="4">
        <v>46120.72771990741</v>
      </c>
      <c r="D137" s="1" t="s">
        <v>694</v>
      </c>
      <c r="E137" s="1" t="s">
        <v>1039</v>
      </c>
      <c r="F137" s="3">
        <v>8.197779637E9</v>
      </c>
      <c r="G137" s="1" t="s">
        <v>46</v>
      </c>
      <c r="H137" s="1" t="s">
        <v>152</v>
      </c>
      <c r="I137" s="1" t="s">
        <v>151</v>
      </c>
      <c r="J137" s="1" t="s">
        <v>43</v>
      </c>
    </row>
    <row r="138">
      <c r="A138" s="3">
        <v>89451.0</v>
      </c>
      <c r="B138" s="1" t="s">
        <v>350</v>
      </c>
      <c r="C138" s="4">
        <v>46120.728113425925</v>
      </c>
      <c r="D138" s="1" t="s">
        <v>694</v>
      </c>
      <c r="E138" s="1" t="s">
        <v>353</v>
      </c>
      <c r="F138" s="3">
        <v>7.780882594E9</v>
      </c>
      <c r="G138" s="1" t="s">
        <v>46</v>
      </c>
      <c r="H138" s="1" t="s">
        <v>352</v>
      </c>
      <c r="I138" s="1" t="s">
        <v>351</v>
      </c>
      <c r="J138" s="1" t="s">
        <v>43</v>
      </c>
    </row>
    <row r="139">
      <c r="A139" s="3">
        <v>89452.0</v>
      </c>
      <c r="B139" s="1" t="s">
        <v>1040</v>
      </c>
      <c r="C139" s="4">
        <v>46120.80486111111</v>
      </c>
      <c r="D139" s="1" t="s">
        <v>694</v>
      </c>
      <c r="E139" s="1" t="s">
        <v>1041</v>
      </c>
      <c r="F139" s="3">
        <v>7.550030484E9</v>
      </c>
      <c r="G139" s="1" t="s">
        <v>46</v>
      </c>
      <c r="H139" s="1" t="s">
        <v>118</v>
      </c>
      <c r="I139" s="1" t="s">
        <v>473</v>
      </c>
      <c r="J139" s="1" t="s">
        <v>43</v>
      </c>
    </row>
    <row r="140">
      <c r="A140" s="3">
        <v>89453.0</v>
      </c>
      <c r="B140" s="1" t="s">
        <v>1042</v>
      </c>
      <c r="C140" s="4">
        <v>46120.80994212963</v>
      </c>
      <c r="E140" s="1" t="s">
        <v>1043</v>
      </c>
      <c r="F140" s="3">
        <v>9.686842299E9</v>
      </c>
      <c r="G140" s="7"/>
      <c r="H140" s="7"/>
      <c r="I140" s="7"/>
      <c r="J140" s="1" t="s">
        <v>1044</v>
      </c>
      <c r="K140" s="7"/>
    </row>
    <row r="141">
      <c r="A141" s="3">
        <v>89454.0</v>
      </c>
      <c r="B141" s="1" t="s">
        <v>1045</v>
      </c>
      <c r="C141" s="4">
        <v>46120.86755787037</v>
      </c>
      <c r="D141" s="1" t="s">
        <v>694</v>
      </c>
      <c r="E141" s="1" t="s">
        <v>1046</v>
      </c>
      <c r="F141" s="10">
        <v>1.4708E10</v>
      </c>
      <c r="G141" s="1" t="s">
        <v>294</v>
      </c>
      <c r="H141" s="1" t="s">
        <v>1047</v>
      </c>
      <c r="I141" s="1" t="s">
        <v>1048</v>
      </c>
      <c r="J141" s="1" t="s">
        <v>43</v>
      </c>
    </row>
    <row r="142">
      <c r="A142" s="3">
        <v>89455.0</v>
      </c>
      <c r="B142" s="1" t="s">
        <v>1049</v>
      </c>
      <c r="C142" s="4">
        <v>46120.87008101852</v>
      </c>
      <c r="D142" s="1" t="s">
        <v>690</v>
      </c>
      <c r="E142" s="1" t="s">
        <v>1050</v>
      </c>
      <c r="F142" s="3">
        <v>6.397765949E9</v>
      </c>
      <c r="G142" s="1" t="s">
        <v>46</v>
      </c>
      <c r="H142" s="1" t="s">
        <v>53</v>
      </c>
      <c r="I142" s="1" t="s">
        <v>1051</v>
      </c>
      <c r="J142" s="1" t="s">
        <v>43</v>
      </c>
    </row>
    <row r="143">
      <c r="A143" s="3">
        <v>89456.0</v>
      </c>
      <c r="B143" s="1" t="s">
        <v>1052</v>
      </c>
      <c r="C143" s="4">
        <v>46120.89627314815</v>
      </c>
      <c r="D143" s="1" t="s">
        <v>694</v>
      </c>
      <c r="E143" s="1" t="s">
        <v>1053</v>
      </c>
      <c r="F143" s="1" t="s">
        <v>1054</v>
      </c>
      <c r="G143" s="1" t="s">
        <v>46</v>
      </c>
      <c r="H143" s="1" t="s">
        <v>53</v>
      </c>
      <c r="I143" s="1" t="s">
        <v>110</v>
      </c>
      <c r="J143" s="1" t="s">
        <v>43</v>
      </c>
    </row>
    <row r="144">
      <c r="A144" s="3">
        <v>89457.0</v>
      </c>
      <c r="B144" s="1" t="s">
        <v>1055</v>
      </c>
      <c r="C144" s="4">
        <v>46121.000810185185</v>
      </c>
      <c r="D144" s="1" t="s">
        <v>694</v>
      </c>
      <c r="E144" s="1" t="s">
        <v>1056</v>
      </c>
      <c r="F144" s="3">
        <v>9.260929014E9</v>
      </c>
      <c r="G144" s="1" t="s">
        <v>46</v>
      </c>
      <c r="H144" s="1" t="s">
        <v>53</v>
      </c>
      <c r="I144" s="1" t="s">
        <v>1057</v>
      </c>
      <c r="J144" s="1" t="s">
        <v>43</v>
      </c>
    </row>
    <row r="145">
      <c r="A145" s="3">
        <v>89458.0</v>
      </c>
      <c r="B145" s="1" t="s">
        <v>1058</v>
      </c>
      <c r="C145" s="4">
        <v>46121.04114583333</v>
      </c>
      <c r="D145" s="1" t="s">
        <v>694</v>
      </c>
      <c r="E145" s="1" t="s">
        <v>1059</v>
      </c>
      <c r="F145" s="3">
        <v>8.910885454E9</v>
      </c>
      <c r="G145" s="1" t="s">
        <v>46</v>
      </c>
      <c r="H145" s="1" t="s">
        <v>235</v>
      </c>
      <c r="I145" s="1" t="s">
        <v>234</v>
      </c>
      <c r="J145" s="1" t="s">
        <v>43</v>
      </c>
    </row>
    <row r="146">
      <c r="A146" s="3">
        <v>89459.0</v>
      </c>
      <c r="B146" s="1" t="s">
        <v>1060</v>
      </c>
      <c r="C146" s="4">
        <v>46121.462002314816</v>
      </c>
      <c r="D146" s="1" t="s">
        <v>690</v>
      </c>
      <c r="E146" s="1" t="s">
        <v>1061</v>
      </c>
      <c r="F146" s="3">
        <v>9.310424851E9</v>
      </c>
      <c r="G146" s="1" t="s">
        <v>46</v>
      </c>
      <c r="H146" s="1" t="s">
        <v>241</v>
      </c>
      <c r="I146" s="1" t="s">
        <v>275</v>
      </c>
      <c r="J146" s="1" t="s">
        <v>43</v>
      </c>
    </row>
    <row r="147">
      <c r="A147" s="3">
        <v>89460.0</v>
      </c>
      <c r="B147" s="1" t="s">
        <v>1062</v>
      </c>
      <c r="C147" s="4">
        <v>46121.50971064815</v>
      </c>
      <c r="D147" s="1" t="s">
        <v>694</v>
      </c>
      <c r="E147" s="1" t="s">
        <v>1063</v>
      </c>
      <c r="F147" s="3">
        <v>8.815300752E9</v>
      </c>
      <c r="G147" s="1" t="s">
        <v>46</v>
      </c>
      <c r="H147" s="1" t="s">
        <v>203</v>
      </c>
      <c r="I147" s="1" t="s">
        <v>1064</v>
      </c>
      <c r="J147" s="1" t="s">
        <v>43</v>
      </c>
    </row>
    <row r="148">
      <c r="A148" s="3">
        <v>89461.0</v>
      </c>
      <c r="B148" s="1" t="s">
        <v>1065</v>
      </c>
      <c r="C148" s="4">
        <v>46121.558842592596</v>
      </c>
      <c r="D148" s="1" t="s">
        <v>694</v>
      </c>
      <c r="E148" s="1" t="s">
        <v>1066</v>
      </c>
      <c r="F148" s="3">
        <v>9.342160534E9</v>
      </c>
      <c r="G148" s="1" t="s">
        <v>46</v>
      </c>
      <c r="H148" s="1" t="s">
        <v>152</v>
      </c>
      <c r="I148" s="1" t="s">
        <v>151</v>
      </c>
      <c r="J148" s="1" t="s">
        <v>43</v>
      </c>
    </row>
    <row r="149">
      <c r="A149" s="3">
        <v>89462.0</v>
      </c>
      <c r="B149" s="1" t="s">
        <v>666</v>
      </c>
      <c r="C149" s="4">
        <v>46121.56283564815</v>
      </c>
      <c r="D149" s="1" t="s">
        <v>694</v>
      </c>
      <c r="E149" s="1" t="s">
        <v>667</v>
      </c>
      <c r="F149" s="3">
        <v>9.811397737E9</v>
      </c>
      <c r="G149" s="1" t="s">
        <v>46</v>
      </c>
      <c r="H149" s="1" t="s">
        <v>241</v>
      </c>
      <c r="I149" s="1" t="s">
        <v>275</v>
      </c>
      <c r="J149" s="1" t="s">
        <v>43</v>
      </c>
    </row>
    <row r="150">
      <c r="A150" s="3">
        <v>89463.0</v>
      </c>
      <c r="B150" s="1" t="s">
        <v>1067</v>
      </c>
      <c r="C150" s="4">
        <v>46121.56549768519</v>
      </c>
      <c r="D150" s="1" t="s">
        <v>690</v>
      </c>
      <c r="E150" s="1" t="s">
        <v>1068</v>
      </c>
      <c r="F150" s="3">
        <v>9.347122518E9</v>
      </c>
      <c r="G150" s="1" t="s">
        <v>46</v>
      </c>
      <c r="H150" s="1" t="s">
        <v>53</v>
      </c>
      <c r="I150" s="1" t="s">
        <v>799</v>
      </c>
      <c r="J150" s="1" t="s">
        <v>43</v>
      </c>
    </row>
    <row r="151">
      <c r="A151" s="3">
        <v>89464.0</v>
      </c>
      <c r="B151" s="1" t="s">
        <v>1069</v>
      </c>
      <c r="C151" s="4">
        <v>46121.641122685185</v>
      </c>
      <c r="D151" s="1" t="s">
        <v>694</v>
      </c>
      <c r="E151" s="1" t="s">
        <v>1070</v>
      </c>
      <c r="F151" s="3">
        <v>6.301552204E9</v>
      </c>
      <c r="G151" s="1" t="s">
        <v>46</v>
      </c>
      <c r="H151" s="1" t="s">
        <v>104</v>
      </c>
      <c r="I151" s="1" t="s">
        <v>103</v>
      </c>
      <c r="J151" s="1" t="s">
        <v>43</v>
      </c>
    </row>
    <row r="152">
      <c r="A152" s="3">
        <v>89465.0</v>
      </c>
      <c r="B152" s="1" t="s">
        <v>1071</v>
      </c>
      <c r="C152" s="4">
        <v>46121.6678125</v>
      </c>
      <c r="D152" s="1" t="s">
        <v>694</v>
      </c>
      <c r="E152" s="1" t="s">
        <v>1072</v>
      </c>
      <c r="F152" s="3">
        <v>9.319155247E9</v>
      </c>
      <c r="G152" s="1" t="s">
        <v>46</v>
      </c>
      <c r="H152" s="1" t="s">
        <v>241</v>
      </c>
      <c r="I152" s="1" t="s">
        <v>275</v>
      </c>
      <c r="J152" s="1" t="s">
        <v>43</v>
      </c>
    </row>
    <row r="153">
      <c r="A153" s="3">
        <v>89466.0</v>
      </c>
      <c r="B153" s="1" t="s">
        <v>1073</v>
      </c>
      <c r="C153" s="4">
        <v>46121.69980324074</v>
      </c>
      <c r="D153" s="1" t="s">
        <v>694</v>
      </c>
      <c r="E153" s="1" t="s">
        <v>1074</v>
      </c>
      <c r="F153" s="3">
        <v>9.035889568E9</v>
      </c>
      <c r="G153" s="1" t="s">
        <v>46</v>
      </c>
      <c r="H153" s="1" t="s">
        <v>152</v>
      </c>
      <c r="I153" s="1" t="s">
        <v>151</v>
      </c>
      <c r="J153" s="1" t="s">
        <v>43</v>
      </c>
    </row>
    <row r="154">
      <c r="A154" s="3">
        <v>89467.0</v>
      </c>
      <c r="B154" s="1" t="s">
        <v>1075</v>
      </c>
      <c r="C154" s="4">
        <v>46121.73746527778</v>
      </c>
      <c r="D154" s="1" t="s">
        <v>694</v>
      </c>
      <c r="E154" s="1" t="s">
        <v>1076</v>
      </c>
      <c r="F154" s="3">
        <v>9.391130523E9</v>
      </c>
      <c r="G154" s="1" t="s">
        <v>46</v>
      </c>
      <c r="H154" s="1" t="s">
        <v>104</v>
      </c>
      <c r="I154" s="1" t="s">
        <v>103</v>
      </c>
      <c r="J154" s="1" t="s">
        <v>43</v>
      </c>
    </row>
    <row r="155">
      <c r="A155" s="3">
        <v>89468.0</v>
      </c>
      <c r="B155" s="7"/>
      <c r="C155" s="4">
        <v>46121.775289351855</v>
      </c>
      <c r="E155" s="1" t="s">
        <v>1077</v>
      </c>
      <c r="H155" s="7"/>
      <c r="I155" s="7"/>
      <c r="J155" s="7"/>
      <c r="K155" s="7"/>
    </row>
    <row r="156">
      <c r="A156" s="3">
        <v>89469.0</v>
      </c>
      <c r="B156" s="1" t="s">
        <v>1078</v>
      </c>
      <c r="C156" s="4">
        <v>46121.80099537037</v>
      </c>
      <c r="D156" s="1" t="s">
        <v>694</v>
      </c>
      <c r="E156" s="1" t="s">
        <v>1079</v>
      </c>
      <c r="F156" s="3">
        <v>9.820816598E9</v>
      </c>
      <c r="G156" s="1" t="s">
        <v>46</v>
      </c>
      <c r="H156" s="1" t="s">
        <v>63</v>
      </c>
      <c r="I156" s="1" t="s">
        <v>85</v>
      </c>
      <c r="J156" s="1" t="s">
        <v>43</v>
      </c>
    </row>
    <row r="157">
      <c r="A157" s="3">
        <v>89470.0</v>
      </c>
      <c r="B157" s="1" t="s">
        <v>1080</v>
      </c>
      <c r="C157" s="4">
        <v>46121.843668981484</v>
      </c>
      <c r="D157" s="1" t="s">
        <v>694</v>
      </c>
      <c r="E157" s="1" t="s">
        <v>1081</v>
      </c>
      <c r="F157" s="3">
        <v>7.814253413E9</v>
      </c>
      <c r="G157" s="1" t="s">
        <v>46</v>
      </c>
      <c r="H157" s="1" t="s">
        <v>592</v>
      </c>
      <c r="I157" s="1" t="s">
        <v>592</v>
      </c>
      <c r="J157" s="1" t="s">
        <v>43</v>
      </c>
    </row>
    <row r="158">
      <c r="A158" s="3">
        <v>89471.0</v>
      </c>
      <c r="B158" s="1" t="s">
        <v>1082</v>
      </c>
      <c r="C158" s="4">
        <v>46121.85083333333</v>
      </c>
      <c r="D158" s="1" t="s">
        <v>694</v>
      </c>
      <c r="E158" s="7"/>
      <c r="F158" s="7"/>
      <c r="G158" s="1" t="s">
        <v>46</v>
      </c>
      <c r="H158" s="1" t="s">
        <v>53</v>
      </c>
      <c r="I158" s="1" t="s">
        <v>1083</v>
      </c>
      <c r="J158" s="1" t="s">
        <v>43</v>
      </c>
    </row>
    <row r="159">
      <c r="A159" s="3">
        <v>89472.0</v>
      </c>
      <c r="B159" s="1" t="s">
        <v>1084</v>
      </c>
      <c r="C159" s="4">
        <v>46121.86644675926</v>
      </c>
      <c r="D159" s="1" t="s">
        <v>694</v>
      </c>
      <c r="E159" s="1" t="s">
        <v>1085</v>
      </c>
      <c r="F159" s="3">
        <v>9.876543212E9</v>
      </c>
      <c r="G159" s="1" t="s">
        <v>46</v>
      </c>
      <c r="H159" s="1" t="s">
        <v>715</v>
      </c>
      <c r="I159" s="1" t="s">
        <v>1086</v>
      </c>
      <c r="J159" s="1" t="s">
        <v>43</v>
      </c>
    </row>
    <row r="160">
      <c r="A160" s="3">
        <v>89473.0</v>
      </c>
      <c r="B160" s="1" t="s">
        <v>1087</v>
      </c>
      <c r="C160" s="4">
        <v>46121.86887731482</v>
      </c>
      <c r="D160" s="1" t="s">
        <v>690</v>
      </c>
      <c r="E160" s="1" t="s">
        <v>1088</v>
      </c>
      <c r="F160" s="3">
        <v>8.91843041E9</v>
      </c>
      <c r="G160" s="1" t="s">
        <v>46</v>
      </c>
      <c r="H160" s="1" t="s">
        <v>235</v>
      </c>
      <c r="I160" s="1" t="s">
        <v>1089</v>
      </c>
      <c r="J160" s="1" t="s">
        <v>43</v>
      </c>
    </row>
    <row r="161">
      <c r="A161" s="3">
        <v>89474.0</v>
      </c>
      <c r="B161" s="1" t="s">
        <v>1090</v>
      </c>
      <c r="C161" s="4">
        <v>46121.91818287037</v>
      </c>
      <c r="D161" s="1" t="s">
        <v>694</v>
      </c>
      <c r="E161" s="1" t="s">
        <v>1091</v>
      </c>
      <c r="F161" s="3">
        <v>9.137132205E9</v>
      </c>
      <c r="G161" s="1" t="s">
        <v>46</v>
      </c>
      <c r="H161" s="1" t="s">
        <v>63</v>
      </c>
      <c r="I161" s="1" t="s">
        <v>85</v>
      </c>
      <c r="J161" s="1" t="s">
        <v>43</v>
      </c>
    </row>
    <row r="162">
      <c r="A162" s="3">
        <v>89475.0</v>
      </c>
      <c r="B162" s="1" t="s">
        <v>1092</v>
      </c>
      <c r="C162" s="4">
        <v>46121.98773148148</v>
      </c>
      <c r="D162" s="1" t="s">
        <v>694</v>
      </c>
      <c r="E162" s="1" t="s">
        <v>1093</v>
      </c>
      <c r="F162" s="3">
        <v>9.20427741E9</v>
      </c>
      <c r="G162" s="1" t="s">
        <v>46</v>
      </c>
      <c r="H162" s="1" t="s">
        <v>235</v>
      </c>
      <c r="I162" s="1" t="s">
        <v>234</v>
      </c>
      <c r="J162" s="1" t="s">
        <v>43</v>
      </c>
    </row>
    <row r="163">
      <c r="A163" s="3">
        <v>89476.0</v>
      </c>
      <c r="B163" s="1" t="s">
        <v>1094</v>
      </c>
      <c r="C163" s="4">
        <v>46121.99306712963</v>
      </c>
      <c r="D163" s="1" t="s">
        <v>694</v>
      </c>
      <c r="E163" s="1" t="s">
        <v>1095</v>
      </c>
      <c r="F163" s="3">
        <v>9.630139754E9</v>
      </c>
      <c r="G163" s="1" t="s">
        <v>46</v>
      </c>
      <c r="H163" s="1" t="s">
        <v>203</v>
      </c>
      <c r="I163" s="1" t="s">
        <v>407</v>
      </c>
      <c r="J163" s="1" t="s">
        <v>43</v>
      </c>
    </row>
    <row r="164">
      <c r="A164" s="3">
        <v>89477.0</v>
      </c>
      <c r="B164" s="1" t="s">
        <v>1096</v>
      </c>
      <c r="C164" s="4">
        <v>46122.00001157408</v>
      </c>
      <c r="D164" s="1" t="s">
        <v>694</v>
      </c>
      <c r="E164" s="1" t="s">
        <v>1097</v>
      </c>
      <c r="F164" s="3">
        <v>7.006238116E9</v>
      </c>
      <c r="G164" s="1" t="s">
        <v>46</v>
      </c>
      <c r="H164" s="1" t="s">
        <v>352</v>
      </c>
      <c r="I164" s="1" t="s">
        <v>351</v>
      </c>
      <c r="J164" s="1" t="s">
        <v>43</v>
      </c>
    </row>
    <row r="165">
      <c r="A165" s="3">
        <v>89478.0</v>
      </c>
      <c r="B165" s="1" t="s">
        <v>1098</v>
      </c>
      <c r="C165" s="4">
        <v>46122.37247685185</v>
      </c>
      <c r="D165" s="1" t="s">
        <v>694</v>
      </c>
      <c r="E165" s="1" t="s">
        <v>1099</v>
      </c>
      <c r="F165" s="3">
        <v>9.871667711E9</v>
      </c>
      <c r="G165" s="1" t="s">
        <v>46</v>
      </c>
      <c r="H165" s="1" t="s">
        <v>53</v>
      </c>
      <c r="I165" s="1" t="s">
        <v>367</v>
      </c>
      <c r="J165" s="1" t="s">
        <v>43</v>
      </c>
    </row>
    <row r="166">
      <c r="A166" s="3">
        <v>89479.0</v>
      </c>
      <c r="B166" s="7"/>
      <c r="C166" s="4">
        <v>46122.48755787037</v>
      </c>
      <c r="E166" s="1" t="s">
        <v>1100</v>
      </c>
      <c r="G166" s="7"/>
      <c r="H166" s="7"/>
      <c r="I166" s="7"/>
      <c r="J166" s="7"/>
      <c r="K166" s="7"/>
    </row>
    <row r="167">
      <c r="A167" s="3">
        <v>89480.0</v>
      </c>
      <c r="B167" s="1" t="s">
        <v>1101</v>
      </c>
      <c r="C167" s="4">
        <v>46122.520324074074</v>
      </c>
      <c r="D167" s="1" t="s">
        <v>694</v>
      </c>
      <c r="E167" s="1" t="s">
        <v>1102</v>
      </c>
      <c r="F167" s="3">
        <v>9.15083291E9</v>
      </c>
      <c r="G167" s="1" t="s">
        <v>46</v>
      </c>
      <c r="H167" s="1" t="s">
        <v>118</v>
      </c>
      <c r="I167" s="1" t="s">
        <v>1103</v>
      </c>
      <c r="J167" s="1" t="s">
        <v>43</v>
      </c>
    </row>
    <row r="168">
      <c r="A168" s="3">
        <v>89481.0</v>
      </c>
      <c r="B168" s="1" t="s">
        <v>1104</v>
      </c>
      <c r="C168" s="4">
        <v>46122.63429398148</v>
      </c>
      <c r="D168" s="1" t="s">
        <v>690</v>
      </c>
      <c r="E168" s="1" t="s">
        <v>1105</v>
      </c>
      <c r="F168" s="3">
        <v>9.384678344E9</v>
      </c>
      <c r="G168" s="1" t="s">
        <v>46</v>
      </c>
      <c r="H168" s="1" t="s">
        <v>118</v>
      </c>
      <c r="I168" s="1" t="s">
        <v>473</v>
      </c>
      <c r="J168" s="1" t="s">
        <v>43</v>
      </c>
    </row>
    <row r="169">
      <c r="A169" s="3">
        <v>89482.0</v>
      </c>
      <c r="B169" s="1" t="s">
        <v>1106</v>
      </c>
      <c r="C169" s="4">
        <v>46122.65207175926</v>
      </c>
      <c r="D169" s="1" t="s">
        <v>694</v>
      </c>
      <c r="E169" s="1" t="s">
        <v>1107</v>
      </c>
      <c r="F169" s="3">
        <v>9.820468985E9</v>
      </c>
      <c r="G169" s="1" t="s">
        <v>46</v>
      </c>
      <c r="H169" s="1" t="s">
        <v>63</v>
      </c>
      <c r="I169" s="1" t="s">
        <v>85</v>
      </c>
      <c r="J169" s="1" t="s">
        <v>43</v>
      </c>
    </row>
    <row r="170">
      <c r="A170" s="3">
        <v>89483.0</v>
      </c>
      <c r="B170" s="1" t="s">
        <v>1062</v>
      </c>
      <c r="C170" s="4">
        <v>46122.70012731481</v>
      </c>
      <c r="D170" s="1" t="s">
        <v>694</v>
      </c>
      <c r="E170" s="1" t="s">
        <v>1108</v>
      </c>
      <c r="F170" s="3">
        <v>8.815300752E9</v>
      </c>
      <c r="G170" s="1" t="s">
        <v>46</v>
      </c>
      <c r="H170" s="1" t="s">
        <v>203</v>
      </c>
      <c r="I170" s="1" t="s">
        <v>1064</v>
      </c>
      <c r="J170" s="1" t="s">
        <v>43</v>
      </c>
    </row>
    <row r="171">
      <c r="A171" s="3">
        <v>89484.0</v>
      </c>
      <c r="B171" s="1" t="s">
        <v>610</v>
      </c>
      <c r="C171" s="4">
        <v>46122.70138888889</v>
      </c>
      <c r="D171" s="1" t="s">
        <v>690</v>
      </c>
      <c r="E171" s="1" t="s">
        <v>613</v>
      </c>
      <c r="F171" s="3">
        <v>9.8218329E9</v>
      </c>
      <c r="G171" s="1" t="s">
        <v>46</v>
      </c>
      <c r="H171" s="1" t="s">
        <v>53</v>
      </c>
      <c r="I171" s="1" t="s">
        <v>611</v>
      </c>
      <c r="J171" s="1" t="s">
        <v>43</v>
      </c>
    </row>
    <row r="172">
      <c r="A172" s="3">
        <v>89485.0</v>
      </c>
      <c r="B172" s="1" t="s">
        <v>1109</v>
      </c>
      <c r="C172" s="4">
        <v>46122.836805555555</v>
      </c>
      <c r="D172" s="1" t="s">
        <v>694</v>
      </c>
      <c r="E172" s="1" t="s">
        <v>1110</v>
      </c>
      <c r="F172" s="3">
        <v>6.284283496E9</v>
      </c>
      <c r="G172" s="1" t="s">
        <v>46</v>
      </c>
      <c r="H172" s="1" t="s">
        <v>561</v>
      </c>
      <c r="I172" s="1" t="s">
        <v>560</v>
      </c>
      <c r="J172" s="1" t="s">
        <v>43</v>
      </c>
    </row>
    <row r="173">
      <c r="A173" s="3">
        <v>89486.0</v>
      </c>
      <c r="B173" s="1" t="s">
        <v>1111</v>
      </c>
      <c r="C173" s="4">
        <v>46122.83696759259</v>
      </c>
      <c r="D173" s="1" t="s">
        <v>694</v>
      </c>
      <c r="E173" s="1" t="s">
        <v>1112</v>
      </c>
      <c r="F173" s="3">
        <v>8.307059994E9</v>
      </c>
      <c r="G173" s="1" t="s">
        <v>46</v>
      </c>
      <c r="H173" s="1" t="s">
        <v>45</v>
      </c>
      <c r="I173" s="1" t="s">
        <v>1113</v>
      </c>
      <c r="J173" s="1" t="s">
        <v>43</v>
      </c>
    </row>
    <row r="174">
      <c r="A174" s="3">
        <v>89487.0</v>
      </c>
      <c r="B174" s="1" t="s">
        <v>1114</v>
      </c>
      <c r="C174" s="4">
        <v>46122.96130787037</v>
      </c>
      <c r="D174" s="1" t="s">
        <v>694</v>
      </c>
      <c r="E174" s="1" t="s">
        <v>1115</v>
      </c>
      <c r="F174" s="3">
        <v>6.306386152E9</v>
      </c>
      <c r="G174" s="1" t="s">
        <v>46</v>
      </c>
      <c r="H174" s="1" t="s">
        <v>53</v>
      </c>
      <c r="I174" s="1" t="s">
        <v>174</v>
      </c>
      <c r="J174" s="1" t="s">
        <v>43</v>
      </c>
    </row>
    <row r="175">
      <c r="A175" s="3">
        <v>89488.0</v>
      </c>
      <c r="B175" s="1" t="s">
        <v>1116</v>
      </c>
      <c r="C175" s="4">
        <v>46122.972592592596</v>
      </c>
      <c r="D175" s="1" t="s">
        <v>694</v>
      </c>
      <c r="E175" s="1" t="s">
        <v>1117</v>
      </c>
      <c r="F175" s="3">
        <v>9.395367575E9</v>
      </c>
      <c r="G175" s="1" t="s">
        <v>46</v>
      </c>
      <c r="H175" s="1" t="s">
        <v>498</v>
      </c>
      <c r="I175" s="1" t="s">
        <v>1118</v>
      </c>
      <c r="J175" s="1" t="s">
        <v>43</v>
      </c>
    </row>
    <row r="176">
      <c r="A176" s="3">
        <v>89489.0</v>
      </c>
      <c r="B176" s="1" t="s">
        <v>1119</v>
      </c>
      <c r="C176" s="4">
        <v>46123.03005787037</v>
      </c>
      <c r="D176" s="1" t="s">
        <v>694</v>
      </c>
      <c r="E176" s="1" t="s">
        <v>1120</v>
      </c>
      <c r="F176" s="3">
        <v>7.034082487E9</v>
      </c>
      <c r="G176" s="1" t="s">
        <v>294</v>
      </c>
      <c r="H176" s="1" t="s">
        <v>1121</v>
      </c>
      <c r="I176" s="1" t="s">
        <v>1122</v>
      </c>
      <c r="J176" s="1" t="s">
        <v>43</v>
      </c>
    </row>
    <row r="177">
      <c r="A177" s="3">
        <v>89490.0</v>
      </c>
      <c r="B177" s="1" t="s">
        <v>1123</v>
      </c>
      <c r="C177" s="4">
        <v>46123.13611111111</v>
      </c>
      <c r="D177" s="1" t="s">
        <v>690</v>
      </c>
      <c r="E177" s="1" t="s">
        <v>1124</v>
      </c>
      <c r="F177" s="3">
        <v>9.382050487E9</v>
      </c>
      <c r="G177" s="1" t="s">
        <v>46</v>
      </c>
      <c r="H177" s="1" t="s">
        <v>235</v>
      </c>
      <c r="I177" s="1" t="s">
        <v>1125</v>
      </c>
      <c r="J177" s="1" t="s">
        <v>43</v>
      </c>
    </row>
    <row r="178">
      <c r="A178" s="3">
        <v>89491.0</v>
      </c>
      <c r="B178" s="1" t="s">
        <v>1126</v>
      </c>
      <c r="C178" s="4">
        <v>46123.216469907406</v>
      </c>
      <c r="D178" s="1" t="s">
        <v>694</v>
      </c>
      <c r="E178" s="1" t="s">
        <v>1127</v>
      </c>
      <c r="F178" s="10">
        <v>1.2065E10</v>
      </c>
      <c r="G178" s="1" t="s">
        <v>294</v>
      </c>
      <c r="H178" s="1" t="s">
        <v>1128</v>
      </c>
      <c r="I178" s="1" t="s">
        <v>1129</v>
      </c>
      <c r="J178" s="1" t="s">
        <v>43</v>
      </c>
    </row>
    <row r="179">
      <c r="A179" s="3">
        <v>89492.0</v>
      </c>
      <c r="B179" s="1" t="s">
        <v>1130</v>
      </c>
      <c r="C179" s="4">
        <v>46123.299467592595</v>
      </c>
      <c r="D179" s="1" t="s">
        <v>694</v>
      </c>
      <c r="E179" s="1" t="s">
        <v>1131</v>
      </c>
      <c r="F179" s="3">
        <v>9.311287078E9</v>
      </c>
      <c r="G179" s="1" t="s">
        <v>46</v>
      </c>
      <c r="H179" s="1" t="s">
        <v>241</v>
      </c>
      <c r="I179" s="1" t="s">
        <v>275</v>
      </c>
      <c r="J179" s="1" t="s">
        <v>43</v>
      </c>
    </row>
    <row r="180">
      <c r="A180" s="3">
        <v>89493.0</v>
      </c>
      <c r="B180" s="1" t="s">
        <v>1132</v>
      </c>
      <c r="C180" s="4">
        <v>46123.32939814815</v>
      </c>
      <c r="D180" s="1" t="s">
        <v>694</v>
      </c>
      <c r="E180" s="1" t="s">
        <v>1133</v>
      </c>
      <c r="F180" s="7" t="str">
        <f>+1 5186060705</f>
        <v>#ERROR!</v>
      </c>
      <c r="G180" s="1" t="s">
        <v>294</v>
      </c>
      <c r="H180" s="1" t="s">
        <v>1134</v>
      </c>
      <c r="I180" s="1" t="s">
        <v>1135</v>
      </c>
      <c r="J180" s="1" t="s">
        <v>43</v>
      </c>
    </row>
    <row r="181">
      <c r="A181" s="3">
        <v>89494.0</v>
      </c>
      <c r="B181" s="1" t="s">
        <v>1136</v>
      </c>
      <c r="C181" s="4">
        <v>46123.33204861111</v>
      </c>
      <c r="D181" s="1" t="s">
        <v>690</v>
      </c>
      <c r="E181" s="1" t="s">
        <v>1137</v>
      </c>
      <c r="F181" s="3">
        <v>9.430496495E9</v>
      </c>
      <c r="G181" s="1" t="s">
        <v>46</v>
      </c>
      <c r="H181" s="1" t="s">
        <v>498</v>
      </c>
      <c r="I181" s="1" t="s">
        <v>1138</v>
      </c>
      <c r="J181" s="1" t="s">
        <v>43</v>
      </c>
    </row>
    <row r="182">
      <c r="A182" s="3">
        <v>89495.0</v>
      </c>
      <c r="B182" s="1" t="s">
        <v>1139</v>
      </c>
      <c r="C182" s="4">
        <v>46123.34643518519</v>
      </c>
      <c r="D182" s="1" t="s">
        <v>690</v>
      </c>
      <c r="E182" s="1" t="s">
        <v>1140</v>
      </c>
      <c r="F182" s="7" t="str">
        <f>+1 4699196684</f>
        <v>#ERROR!</v>
      </c>
      <c r="G182" s="1" t="s">
        <v>294</v>
      </c>
      <c r="H182" s="1" t="s">
        <v>964</v>
      </c>
      <c r="I182" s="1" t="s">
        <v>1141</v>
      </c>
      <c r="J182" s="1" t="s">
        <v>43</v>
      </c>
    </row>
    <row r="183">
      <c r="A183" s="3">
        <v>89496.0</v>
      </c>
      <c r="B183" s="1" t="s">
        <v>1142</v>
      </c>
      <c r="C183" s="4">
        <v>46123.41935185185</v>
      </c>
      <c r="D183" s="1" t="s">
        <v>690</v>
      </c>
      <c r="E183" s="1" t="s">
        <v>1143</v>
      </c>
      <c r="F183" s="3">
        <v>7.838781558E9</v>
      </c>
      <c r="G183" s="1" t="s">
        <v>46</v>
      </c>
      <c r="H183" s="1" t="s">
        <v>124</v>
      </c>
      <c r="I183" s="1" t="s">
        <v>315</v>
      </c>
      <c r="J183" s="1" t="s">
        <v>43</v>
      </c>
    </row>
    <row r="184">
      <c r="A184" s="3">
        <v>89497.0</v>
      </c>
      <c r="B184" s="1" t="s">
        <v>1144</v>
      </c>
      <c r="C184" s="4">
        <v>46123.461851851855</v>
      </c>
      <c r="D184" s="1" t="s">
        <v>694</v>
      </c>
      <c r="E184" s="1" t="s">
        <v>1145</v>
      </c>
      <c r="F184" s="3">
        <v>9.175886211E9</v>
      </c>
      <c r="G184" s="1" t="s">
        <v>46</v>
      </c>
      <c r="H184" s="1" t="s">
        <v>63</v>
      </c>
      <c r="I184" s="1" t="s">
        <v>942</v>
      </c>
      <c r="J184" s="1" t="s">
        <v>43</v>
      </c>
    </row>
    <row r="185">
      <c r="A185" s="3">
        <v>89498.0</v>
      </c>
      <c r="B185" s="1" t="s">
        <v>1146</v>
      </c>
      <c r="C185" s="4">
        <v>46123.50864583333</v>
      </c>
      <c r="D185" s="1" t="s">
        <v>694</v>
      </c>
      <c r="E185" s="1" t="s">
        <v>1147</v>
      </c>
      <c r="F185" s="3">
        <v>9.051888822E9</v>
      </c>
      <c r="G185" s="1" t="s">
        <v>46</v>
      </c>
      <c r="H185" s="1" t="s">
        <v>152</v>
      </c>
      <c r="I185" s="1" t="s">
        <v>151</v>
      </c>
      <c r="J185" s="1" t="s">
        <v>43</v>
      </c>
    </row>
    <row r="186">
      <c r="A186" s="3">
        <v>89499.0</v>
      </c>
      <c r="B186" s="1" t="s">
        <v>1148</v>
      </c>
      <c r="C186" s="4">
        <v>46123.52006944444</v>
      </c>
      <c r="D186" s="1" t="s">
        <v>690</v>
      </c>
      <c r="E186" s="1" t="s">
        <v>1149</v>
      </c>
      <c r="F186" s="3">
        <v>8.179591586E9</v>
      </c>
      <c r="G186" s="1" t="s">
        <v>46</v>
      </c>
      <c r="H186" s="1" t="s">
        <v>746</v>
      </c>
      <c r="I186" s="1" t="s">
        <v>1150</v>
      </c>
      <c r="J186" s="1" t="s">
        <v>43</v>
      </c>
    </row>
    <row r="187">
      <c r="A187" s="3">
        <v>89500.0</v>
      </c>
      <c r="B187" s="1" t="s">
        <v>150</v>
      </c>
      <c r="C187" s="4">
        <v>46123.531805555554</v>
      </c>
      <c r="D187" s="1" t="s">
        <v>690</v>
      </c>
      <c r="E187" s="1" t="s">
        <v>1151</v>
      </c>
      <c r="F187" s="3">
        <v>9.424741501E9</v>
      </c>
      <c r="G187" s="1" t="s">
        <v>46</v>
      </c>
      <c r="H187" s="1" t="s">
        <v>53</v>
      </c>
      <c r="I187" s="1" t="s">
        <v>1152</v>
      </c>
      <c r="J187" s="1" t="s">
        <v>43</v>
      </c>
    </row>
    <row r="188">
      <c r="A188" s="3">
        <v>89501.0</v>
      </c>
      <c r="B188" s="1" t="s">
        <v>1153</v>
      </c>
      <c r="C188" s="4">
        <v>46123.554814814815</v>
      </c>
      <c r="D188" s="1" t="s">
        <v>690</v>
      </c>
      <c r="E188" s="1" t="s">
        <v>1154</v>
      </c>
      <c r="F188" s="3">
        <v>7.019058857E9</v>
      </c>
      <c r="G188" s="1" t="s">
        <v>46</v>
      </c>
      <c r="H188" s="1" t="s">
        <v>152</v>
      </c>
      <c r="I188" s="1" t="s">
        <v>1155</v>
      </c>
      <c r="J188" s="1" t="s">
        <v>43</v>
      </c>
    </row>
    <row r="189">
      <c r="A189" s="3">
        <v>89502.0</v>
      </c>
      <c r="B189" s="1" t="s">
        <v>1156</v>
      </c>
      <c r="C189" s="4">
        <v>46123.78393518519</v>
      </c>
      <c r="D189" s="1" t="s">
        <v>694</v>
      </c>
      <c r="E189" s="1" t="s">
        <v>1157</v>
      </c>
      <c r="F189" s="7" t="str">
        <f>+91 97661 84324</f>
        <v>#ERROR!</v>
      </c>
      <c r="G189" s="1" t="s">
        <v>46</v>
      </c>
      <c r="H189" s="1" t="s">
        <v>203</v>
      </c>
      <c r="I189" s="1" t="s">
        <v>1158</v>
      </c>
      <c r="J189" s="1" t="s">
        <v>43</v>
      </c>
    </row>
    <row r="190">
      <c r="A190" s="3">
        <v>89503.0</v>
      </c>
      <c r="B190" s="1" t="s">
        <v>1159</v>
      </c>
      <c r="C190" s="4">
        <v>46123.82947916666</v>
      </c>
      <c r="D190" s="1" t="s">
        <v>694</v>
      </c>
      <c r="E190" s="1" t="s">
        <v>1160</v>
      </c>
      <c r="F190" s="3">
        <v>9.943930403E9</v>
      </c>
      <c r="G190" s="1" t="s">
        <v>46</v>
      </c>
      <c r="H190" s="1" t="s">
        <v>118</v>
      </c>
      <c r="I190" s="1" t="s">
        <v>1161</v>
      </c>
      <c r="J190" s="1" t="s">
        <v>43</v>
      </c>
    </row>
    <row r="191">
      <c r="A191" s="3">
        <v>89504.0</v>
      </c>
      <c r="B191" s="1" t="s">
        <v>1162</v>
      </c>
      <c r="C191" s="4">
        <v>46123.85259259259</v>
      </c>
      <c r="D191" s="1" t="s">
        <v>694</v>
      </c>
      <c r="E191" s="7"/>
      <c r="F191" s="7"/>
      <c r="G191" s="1" t="s">
        <v>46</v>
      </c>
      <c r="H191" s="1" t="s">
        <v>285</v>
      </c>
      <c r="I191" s="1" t="s">
        <v>506</v>
      </c>
      <c r="J191" s="1" t="s">
        <v>43</v>
      </c>
    </row>
    <row r="192">
      <c r="A192" s="3">
        <v>89505.0</v>
      </c>
      <c r="B192" s="1" t="s">
        <v>1163</v>
      </c>
      <c r="C192" s="4">
        <v>46123.9387037037</v>
      </c>
      <c r="D192" s="1" t="s">
        <v>694</v>
      </c>
      <c r="E192" s="1" t="s">
        <v>1164</v>
      </c>
      <c r="F192" s="3">
        <v>8.130345063E9</v>
      </c>
      <c r="G192" s="1" t="s">
        <v>46</v>
      </c>
      <c r="H192" s="1" t="s">
        <v>63</v>
      </c>
      <c r="I192" s="1" t="s">
        <v>85</v>
      </c>
      <c r="J192" s="1" t="s">
        <v>43</v>
      </c>
    </row>
    <row r="193">
      <c r="A193" s="3">
        <v>89506.0</v>
      </c>
      <c r="B193" s="1" t="s">
        <v>1165</v>
      </c>
      <c r="C193" s="4">
        <v>46123.9915625</v>
      </c>
      <c r="D193" s="1" t="s">
        <v>694</v>
      </c>
      <c r="E193" s="1" t="s">
        <v>1166</v>
      </c>
      <c r="F193" s="3">
        <v>7.709587066E9</v>
      </c>
      <c r="G193" s="1" t="s">
        <v>46</v>
      </c>
      <c r="H193" s="1" t="s">
        <v>63</v>
      </c>
      <c r="I193" s="1" t="s">
        <v>85</v>
      </c>
      <c r="J193" s="1" t="s">
        <v>43</v>
      </c>
    </row>
    <row r="194">
      <c r="A194" s="3">
        <v>89507.0</v>
      </c>
      <c r="B194" s="1" t="s">
        <v>1167</v>
      </c>
      <c r="C194" s="4">
        <v>46124.017847222225</v>
      </c>
      <c r="D194" s="1" t="s">
        <v>694</v>
      </c>
      <c r="E194" s="1" t="s">
        <v>1168</v>
      </c>
      <c r="F194" s="3">
        <v>9.685544311E9</v>
      </c>
      <c r="G194" s="1" t="s">
        <v>46</v>
      </c>
      <c r="H194" s="1" t="s">
        <v>203</v>
      </c>
      <c r="I194" s="1" t="s">
        <v>407</v>
      </c>
      <c r="J194" s="1" t="s">
        <v>43</v>
      </c>
    </row>
    <row r="195">
      <c r="A195" s="3">
        <v>89508.0</v>
      </c>
      <c r="B195" s="1" t="s">
        <v>1169</v>
      </c>
      <c r="C195" s="4">
        <v>46124.01909722222</v>
      </c>
      <c r="D195" s="1" t="s">
        <v>694</v>
      </c>
      <c r="E195" s="1" t="s">
        <v>1170</v>
      </c>
      <c r="F195" s="3">
        <v>6.395864696E9</v>
      </c>
      <c r="G195" s="1" t="s">
        <v>46</v>
      </c>
      <c r="H195" s="1" t="s">
        <v>53</v>
      </c>
      <c r="I195" s="1" t="s">
        <v>1171</v>
      </c>
      <c r="J195" s="1" t="s">
        <v>43</v>
      </c>
    </row>
    <row r="196">
      <c r="A196" s="3">
        <v>89509.0</v>
      </c>
      <c r="B196" s="1" t="s">
        <v>1172</v>
      </c>
      <c r="C196" s="4">
        <v>46124.04200231482</v>
      </c>
      <c r="D196" s="1" t="s">
        <v>694</v>
      </c>
      <c r="E196" s="1" t="s">
        <v>1173</v>
      </c>
      <c r="F196" s="3">
        <v>9.491053891E9</v>
      </c>
      <c r="G196" s="1" t="s">
        <v>46</v>
      </c>
      <c r="H196" s="1" t="s">
        <v>104</v>
      </c>
      <c r="I196" s="1" t="s">
        <v>103</v>
      </c>
      <c r="J196" s="1" t="s">
        <v>43</v>
      </c>
    </row>
    <row r="197">
      <c r="A197" s="3">
        <v>89510.0</v>
      </c>
      <c r="B197" s="1" t="s">
        <v>1174</v>
      </c>
      <c r="C197" s="4">
        <v>46124.04335648148</v>
      </c>
      <c r="D197" s="1" t="s">
        <v>694</v>
      </c>
      <c r="E197" s="1" t="s">
        <v>1175</v>
      </c>
      <c r="F197" s="3">
        <v>9.637386338E9</v>
      </c>
      <c r="G197" s="1" t="s">
        <v>46</v>
      </c>
      <c r="H197" s="1" t="s">
        <v>152</v>
      </c>
      <c r="I197" s="1" t="s">
        <v>151</v>
      </c>
      <c r="J197" s="1" t="s">
        <v>43</v>
      </c>
    </row>
    <row r="198">
      <c r="A198" s="3">
        <v>89511.0</v>
      </c>
      <c r="B198" s="1" t="s">
        <v>1176</v>
      </c>
      <c r="C198" s="4">
        <v>46124.18953703704</v>
      </c>
      <c r="D198" s="1" t="s">
        <v>690</v>
      </c>
      <c r="E198" s="1" t="s">
        <v>1177</v>
      </c>
      <c r="F198" s="3">
        <v>5.022912285E9</v>
      </c>
      <c r="G198" s="1" t="s">
        <v>294</v>
      </c>
      <c r="H198" s="1" t="s">
        <v>960</v>
      </c>
      <c r="I198" s="1" t="s">
        <v>1178</v>
      </c>
      <c r="J198" s="1" t="s">
        <v>43</v>
      </c>
    </row>
    <row r="199">
      <c r="A199" s="3">
        <v>89512.0</v>
      </c>
      <c r="B199" s="1" t="s">
        <v>1179</v>
      </c>
      <c r="C199" s="4">
        <v>46124.241875</v>
      </c>
      <c r="D199" s="1" t="s">
        <v>690</v>
      </c>
      <c r="E199" s="1" t="s">
        <v>1180</v>
      </c>
      <c r="F199" s="3">
        <v>7.303119189E9</v>
      </c>
      <c r="G199" s="1" t="s">
        <v>46</v>
      </c>
      <c r="H199" s="1" t="s">
        <v>124</v>
      </c>
      <c r="I199" s="1" t="s">
        <v>315</v>
      </c>
      <c r="J199" s="1" t="s">
        <v>43</v>
      </c>
    </row>
    <row r="200">
      <c r="A200" s="3">
        <v>89513.0</v>
      </c>
      <c r="B200" s="1" t="s">
        <v>1181</v>
      </c>
      <c r="C200" s="4">
        <v>46124.28060185185</v>
      </c>
      <c r="D200" s="1" t="s">
        <v>690</v>
      </c>
      <c r="E200" s="1" t="s">
        <v>1182</v>
      </c>
      <c r="F200" s="3">
        <v>8.86681971E9</v>
      </c>
      <c r="G200" s="1" t="s">
        <v>46</v>
      </c>
      <c r="H200" s="1" t="s">
        <v>53</v>
      </c>
      <c r="I200" s="1" t="s">
        <v>611</v>
      </c>
      <c r="J200" s="1" t="s">
        <v>43</v>
      </c>
    </row>
    <row r="201">
      <c r="A201" s="3">
        <v>89514.0</v>
      </c>
      <c r="B201" s="1" t="s">
        <v>1183</v>
      </c>
      <c r="C201" s="4">
        <v>46124.41018518519</v>
      </c>
      <c r="D201" s="1" t="s">
        <v>694</v>
      </c>
      <c r="E201" s="1" t="s">
        <v>1184</v>
      </c>
      <c r="F201" s="3">
        <v>9.665741114E9</v>
      </c>
      <c r="G201" s="1" t="s">
        <v>46</v>
      </c>
      <c r="H201" s="1" t="s">
        <v>152</v>
      </c>
      <c r="I201" s="1" t="s">
        <v>151</v>
      </c>
      <c r="J201" s="1" t="s">
        <v>43</v>
      </c>
    </row>
    <row r="202">
      <c r="A202" s="3">
        <v>89515.0</v>
      </c>
      <c r="B202" s="1" t="s">
        <v>1185</v>
      </c>
      <c r="C202" s="4">
        <v>46124.43392361111</v>
      </c>
      <c r="D202" s="1" t="s">
        <v>694</v>
      </c>
      <c r="E202" s="1" t="s">
        <v>1186</v>
      </c>
      <c r="F202" s="3">
        <v>9.027865066E9</v>
      </c>
      <c r="G202" s="1" t="s">
        <v>46</v>
      </c>
      <c r="H202" s="1" t="s">
        <v>53</v>
      </c>
      <c r="I202" s="1" t="s">
        <v>1187</v>
      </c>
      <c r="J202" s="1" t="s">
        <v>43</v>
      </c>
    </row>
    <row r="203">
      <c r="A203" s="3">
        <v>89516.0</v>
      </c>
      <c r="B203" s="1" t="s">
        <v>1188</v>
      </c>
      <c r="C203" s="4">
        <v>46124.45584490741</v>
      </c>
      <c r="D203" s="1" t="s">
        <v>694</v>
      </c>
      <c r="E203" s="1" t="s">
        <v>1189</v>
      </c>
      <c r="F203" s="3">
        <v>9.818310261E9</v>
      </c>
      <c r="G203" s="1" t="s">
        <v>46</v>
      </c>
      <c r="H203" s="1" t="s">
        <v>152</v>
      </c>
      <c r="I203" s="1" t="s">
        <v>151</v>
      </c>
      <c r="J203" s="1" t="s">
        <v>43</v>
      </c>
    </row>
    <row r="204">
      <c r="A204" s="3">
        <v>89517.0</v>
      </c>
      <c r="B204" s="1" t="s">
        <v>1190</v>
      </c>
      <c r="C204" s="4">
        <v>46124.46465277778</v>
      </c>
      <c r="D204" s="1" t="s">
        <v>690</v>
      </c>
      <c r="E204" s="1" t="s">
        <v>1191</v>
      </c>
      <c r="F204" s="3">
        <v>7.271921791E9</v>
      </c>
      <c r="G204" s="1" t="s">
        <v>46</v>
      </c>
      <c r="H204" s="1" t="s">
        <v>53</v>
      </c>
      <c r="I204" s="1" t="s">
        <v>712</v>
      </c>
      <c r="J204" s="1" t="s">
        <v>43</v>
      </c>
    </row>
    <row r="205">
      <c r="A205" s="3">
        <v>89518.0</v>
      </c>
      <c r="B205" s="1" t="s">
        <v>1192</v>
      </c>
      <c r="C205" s="4">
        <v>46124.5009375</v>
      </c>
      <c r="D205" s="1" t="s">
        <v>694</v>
      </c>
      <c r="E205" s="1" t="s">
        <v>1193</v>
      </c>
      <c r="F205" s="3">
        <v>9.154523889E9</v>
      </c>
      <c r="G205" s="1" t="s">
        <v>46</v>
      </c>
      <c r="H205" s="1" t="s">
        <v>104</v>
      </c>
      <c r="I205" s="1" t="s">
        <v>1194</v>
      </c>
      <c r="J205" s="1" t="s">
        <v>43</v>
      </c>
    </row>
    <row r="206">
      <c r="A206" s="3">
        <v>89519.0</v>
      </c>
      <c r="B206" s="1" t="s">
        <v>1195</v>
      </c>
      <c r="C206" s="4">
        <v>46124.51012731482</v>
      </c>
      <c r="D206" s="1" t="s">
        <v>694</v>
      </c>
      <c r="E206" s="1" t="s">
        <v>1196</v>
      </c>
      <c r="F206" s="3">
        <v>8.26689961E9</v>
      </c>
      <c r="G206" s="1" t="s">
        <v>46</v>
      </c>
      <c r="H206" s="1" t="s">
        <v>241</v>
      </c>
      <c r="I206" s="1" t="s">
        <v>241</v>
      </c>
      <c r="J206" s="1" t="s">
        <v>43</v>
      </c>
    </row>
    <row r="207">
      <c r="A207" s="3">
        <v>89520.0</v>
      </c>
      <c r="B207" s="1" t="s">
        <v>1197</v>
      </c>
      <c r="C207" s="4">
        <v>46124.59358796296</v>
      </c>
      <c r="D207" s="1" t="s">
        <v>694</v>
      </c>
      <c r="E207" s="1" t="s">
        <v>1198</v>
      </c>
      <c r="F207" s="10">
        <v>2.1263E11</v>
      </c>
      <c r="G207" s="1" t="s">
        <v>1199</v>
      </c>
      <c r="H207" s="1" t="s">
        <v>1200</v>
      </c>
      <c r="I207" s="1" t="s">
        <v>1201</v>
      </c>
      <c r="J207" s="1" t="s">
        <v>43</v>
      </c>
    </row>
    <row r="208">
      <c r="A208" s="3">
        <v>89521.0</v>
      </c>
      <c r="B208" s="1" t="s">
        <v>1202</v>
      </c>
      <c r="C208" s="4">
        <v>46124.59614583333</v>
      </c>
      <c r="D208" s="1" t="s">
        <v>694</v>
      </c>
      <c r="E208" s="1" t="s">
        <v>1203</v>
      </c>
      <c r="F208" s="3">
        <v>9.44444172E9</v>
      </c>
      <c r="G208" s="1" t="s">
        <v>46</v>
      </c>
      <c r="H208" s="1" t="s">
        <v>118</v>
      </c>
      <c r="I208" s="1" t="s">
        <v>473</v>
      </c>
      <c r="J208" s="1" t="s">
        <v>43</v>
      </c>
    </row>
    <row r="209">
      <c r="A209" s="3">
        <v>89522.0</v>
      </c>
      <c r="B209" s="1" t="s">
        <v>1204</v>
      </c>
      <c r="C209" s="4">
        <v>46124.71172453704</v>
      </c>
      <c r="D209" s="1" t="s">
        <v>694</v>
      </c>
      <c r="E209" s="1" t="s">
        <v>1205</v>
      </c>
      <c r="F209" s="3">
        <v>8.097734231E9</v>
      </c>
      <c r="G209" s="1" t="s">
        <v>46</v>
      </c>
      <c r="H209" s="1" t="s">
        <v>63</v>
      </c>
      <c r="I209" s="1" t="s">
        <v>85</v>
      </c>
      <c r="J209" s="1" t="s">
        <v>43</v>
      </c>
    </row>
    <row r="210">
      <c r="A210" s="3">
        <v>89523.0</v>
      </c>
      <c r="B210" s="1" t="s">
        <v>1206</v>
      </c>
      <c r="C210" s="4">
        <v>46124.72837962963</v>
      </c>
      <c r="D210" s="1" t="s">
        <v>694</v>
      </c>
      <c r="E210" s="1" t="s">
        <v>1207</v>
      </c>
      <c r="F210" s="3">
        <v>9.335697516E9</v>
      </c>
      <c r="G210" s="1" t="s">
        <v>46</v>
      </c>
      <c r="H210" s="1" t="s">
        <v>53</v>
      </c>
      <c r="I210" s="1" t="s">
        <v>1208</v>
      </c>
      <c r="J210" s="1" t="s">
        <v>43</v>
      </c>
    </row>
    <row r="211">
      <c r="A211" s="3">
        <v>89524.0</v>
      </c>
      <c r="B211" s="1" t="s">
        <v>1209</v>
      </c>
      <c r="C211" s="4">
        <v>46124.728472222225</v>
      </c>
      <c r="D211" s="1" t="s">
        <v>690</v>
      </c>
      <c r="E211" s="1" t="s">
        <v>1210</v>
      </c>
      <c r="F211" s="3">
        <v>9.073211231E9</v>
      </c>
      <c r="G211" s="1" t="s">
        <v>46</v>
      </c>
      <c r="H211" s="1" t="s">
        <v>63</v>
      </c>
      <c r="I211" s="1" t="s">
        <v>862</v>
      </c>
      <c r="J211" s="1" t="s">
        <v>43</v>
      </c>
    </row>
    <row r="212">
      <c r="A212" s="3">
        <v>89525.0</v>
      </c>
      <c r="B212" s="1" t="s">
        <v>1211</v>
      </c>
      <c r="C212" s="4">
        <v>46124.7596412037</v>
      </c>
      <c r="D212" s="1" t="s">
        <v>694</v>
      </c>
      <c r="E212" s="1" t="s">
        <v>1212</v>
      </c>
      <c r="F212" s="3">
        <v>8.882892558E9</v>
      </c>
      <c r="G212" s="1" t="s">
        <v>46</v>
      </c>
      <c r="H212" s="1" t="s">
        <v>241</v>
      </c>
      <c r="I212" s="1" t="s">
        <v>241</v>
      </c>
      <c r="J212" s="1" t="s">
        <v>468</v>
      </c>
    </row>
    <row r="213">
      <c r="A213" s="3">
        <v>89526.0</v>
      </c>
      <c r="B213" s="1" t="s">
        <v>1213</v>
      </c>
      <c r="C213" s="4">
        <v>46124.80998842593</v>
      </c>
      <c r="D213" s="1" t="s">
        <v>694</v>
      </c>
      <c r="E213" s="1" t="s">
        <v>1214</v>
      </c>
      <c r="F213" s="3">
        <v>6.369696177E9</v>
      </c>
      <c r="G213" s="1" t="s">
        <v>46</v>
      </c>
      <c r="H213" s="1" t="s">
        <v>118</v>
      </c>
      <c r="I213" s="1" t="s">
        <v>473</v>
      </c>
      <c r="J213" s="1" t="s">
        <v>43</v>
      </c>
    </row>
    <row r="214">
      <c r="A214" s="3">
        <v>89527.0</v>
      </c>
      <c r="B214" s="1" t="s">
        <v>1215</v>
      </c>
      <c r="C214" s="4">
        <v>46124.82226851852</v>
      </c>
      <c r="D214" s="1" t="s">
        <v>690</v>
      </c>
      <c r="E214" s="1" t="s">
        <v>1216</v>
      </c>
      <c r="F214" s="3">
        <v>8.309819805E9</v>
      </c>
      <c r="G214" s="1" t="s">
        <v>46</v>
      </c>
      <c r="H214" s="1" t="s">
        <v>241</v>
      </c>
      <c r="I214" s="1" t="s">
        <v>275</v>
      </c>
      <c r="J214" s="1" t="s">
        <v>43</v>
      </c>
    </row>
    <row r="215">
      <c r="A215" s="3">
        <v>89528.0</v>
      </c>
      <c r="B215" s="1" t="s">
        <v>1217</v>
      </c>
      <c r="C215" s="4">
        <v>46124.887604166666</v>
      </c>
      <c r="D215" s="1" t="s">
        <v>690</v>
      </c>
      <c r="E215" s="1" t="s">
        <v>1218</v>
      </c>
      <c r="F215" s="3">
        <v>9.74190066E9</v>
      </c>
      <c r="G215" s="1" t="s">
        <v>46</v>
      </c>
      <c r="H215" s="1" t="s">
        <v>63</v>
      </c>
      <c r="I215" s="1" t="s">
        <v>97</v>
      </c>
      <c r="J215" s="1" t="s">
        <v>43</v>
      </c>
    </row>
    <row r="216">
      <c r="A216" s="3">
        <v>89529.0</v>
      </c>
      <c r="B216" s="1" t="s">
        <v>1219</v>
      </c>
      <c r="C216" s="4">
        <v>46124.91186342593</v>
      </c>
      <c r="D216" s="1" t="s">
        <v>694</v>
      </c>
      <c r="E216" s="1" t="s">
        <v>1220</v>
      </c>
      <c r="F216" s="3">
        <v>9.651877569E9</v>
      </c>
      <c r="G216" s="1" t="s">
        <v>46</v>
      </c>
      <c r="H216" s="1" t="s">
        <v>53</v>
      </c>
      <c r="I216" s="1" t="s">
        <v>1221</v>
      </c>
      <c r="J216" s="1" t="s">
        <v>43</v>
      </c>
    </row>
    <row r="217">
      <c r="A217" s="3">
        <v>89530.0</v>
      </c>
      <c r="B217" s="1" t="s">
        <v>1222</v>
      </c>
      <c r="C217" s="4">
        <v>46124.98420138889</v>
      </c>
      <c r="D217" s="1" t="s">
        <v>690</v>
      </c>
      <c r="E217" s="1" t="s">
        <v>1223</v>
      </c>
      <c r="F217" s="3">
        <v>8.851740204E9</v>
      </c>
      <c r="G217" s="1" t="s">
        <v>46</v>
      </c>
      <c r="H217" s="1" t="s">
        <v>241</v>
      </c>
      <c r="I217" s="1" t="s">
        <v>275</v>
      </c>
      <c r="J217" s="7"/>
      <c r="K217" s="7"/>
    </row>
    <row r="218">
      <c r="A218" s="3">
        <v>89531.0</v>
      </c>
      <c r="B218" s="1" t="s">
        <v>1224</v>
      </c>
      <c r="C218" s="4">
        <v>46125.05577546296</v>
      </c>
      <c r="D218" s="1" t="s">
        <v>690</v>
      </c>
      <c r="E218" s="1" t="s">
        <v>1225</v>
      </c>
      <c r="F218" s="3">
        <v>8.921724884E9</v>
      </c>
      <c r="G218" s="1" t="s">
        <v>46</v>
      </c>
      <c r="H218" s="1" t="s">
        <v>331</v>
      </c>
      <c r="I218" s="1" t="s">
        <v>1226</v>
      </c>
      <c r="J218" s="1" t="s">
        <v>43</v>
      </c>
    </row>
    <row r="219">
      <c r="A219" s="3">
        <v>89532.0</v>
      </c>
      <c r="B219" s="1" t="s">
        <v>1227</v>
      </c>
      <c r="C219" s="4">
        <v>46125.07894675926</v>
      </c>
      <c r="D219" s="1" t="s">
        <v>694</v>
      </c>
      <c r="E219" s="1" t="s">
        <v>1228</v>
      </c>
      <c r="F219" s="3">
        <v>9.790452579E9</v>
      </c>
      <c r="G219" s="1" t="s">
        <v>46</v>
      </c>
      <c r="H219" s="1" t="s">
        <v>498</v>
      </c>
      <c r="I219" s="1" t="s">
        <v>1229</v>
      </c>
      <c r="J219" s="1" t="s">
        <v>43</v>
      </c>
    </row>
    <row r="220">
      <c r="A220" s="3">
        <v>89533.0</v>
      </c>
      <c r="B220" s="1" t="s">
        <v>1230</v>
      </c>
      <c r="C220" s="4">
        <v>46125.13993055555</v>
      </c>
      <c r="D220" s="1" t="s">
        <v>690</v>
      </c>
      <c r="E220" s="1" t="s">
        <v>1231</v>
      </c>
      <c r="F220" s="3">
        <v>9.373752731E9</v>
      </c>
      <c r="G220" s="1" t="s">
        <v>46</v>
      </c>
      <c r="H220" s="1" t="s">
        <v>63</v>
      </c>
      <c r="I220" s="1" t="s">
        <v>942</v>
      </c>
      <c r="J220" s="1" t="s">
        <v>43</v>
      </c>
    </row>
    <row r="221">
      <c r="A221" s="3">
        <v>89534.0</v>
      </c>
      <c r="B221" s="1" t="s">
        <v>1232</v>
      </c>
      <c r="C221" s="4">
        <v>46125.44961805556</v>
      </c>
      <c r="D221" s="1" t="s">
        <v>694</v>
      </c>
      <c r="E221" s="1" t="s">
        <v>1233</v>
      </c>
      <c r="F221" s="3">
        <v>4.847441726E9</v>
      </c>
      <c r="G221" s="1" t="s">
        <v>294</v>
      </c>
      <c r="H221" s="1" t="s">
        <v>960</v>
      </c>
      <c r="I221" s="1" t="s">
        <v>1234</v>
      </c>
      <c r="J221" s="1" t="s">
        <v>43</v>
      </c>
    </row>
    <row r="222">
      <c r="A222" s="3">
        <v>89535.0</v>
      </c>
      <c r="B222" s="1" t="s">
        <v>1235</v>
      </c>
      <c r="C222" s="4">
        <v>46125.488599537035</v>
      </c>
      <c r="D222" s="1" t="s">
        <v>694</v>
      </c>
      <c r="E222" s="1" t="s">
        <v>1236</v>
      </c>
      <c r="F222" s="3">
        <v>9.952142628E9</v>
      </c>
      <c r="G222" s="1" t="s">
        <v>46</v>
      </c>
      <c r="H222" s="1" t="s">
        <v>118</v>
      </c>
      <c r="I222" s="1" t="s">
        <v>1237</v>
      </c>
      <c r="J222" s="1" t="s">
        <v>43</v>
      </c>
    </row>
    <row r="223">
      <c r="A223" s="3">
        <v>89536.0</v>
      </c>
      <c r="B223" s="1" t="s">
        <v>1238</v>
      </c>
      <c r="C223" s="4">
        <v>46125.51368055555</v>
      </c>
      <c r="D223" s="1" t="s">
        <v>694</v>
      </c>
      <c r="E223" s="1" t="s">
        <v>1239</v>
      </c>
      <c r="F223" s="3">
        <v>9.345321716E9</v>
      </c>
      <c r="G223" s="1" t="s">
        <v>46</v>
      </c>
      <c r="H223" s="1" t="s">
        <v>152</v>
      </c>
      <c r="I223" s="1" t="s">
        <v>151</v>
      </c>
      <c r="J223" s="1" t="s">
        <v>43</v>
      </c>
    </row>
    <row r="224">
      <c r="A224" s="3">
        <v>89537.0</v>
      </c>
      <c r="B224" s="1" t="s">
        <v>1240</v>
      </c>
      <c r="C224" s="4">
        <v>46125.538460648146</v>
      </c>
      <c r="D224" s="1" t="s">
        <v>694</v>
      </c>
      <c r="E224" s="1" t="s">
        <v>1241</v>
      </c>
      <c r="F224" s="3">
        <v>9.03201317E9</v>
      </c>
      <c r="G224" s="1" t="s">
        <v>46</v>
      </c>
      <c r="H224" s="1" t="s">
        <v>104</v>
      </c>
      <c r="I224" s="1" t="s">
        <v>103</v>
      </c>
      <c r="J224" s="1" t="s">
        <v>43</v>
      </c>
    </row>
    <row r="225">
      <c r="A225" s="3">
        <v>89538.0</v>
      </c>
      <c r="B225" s="1" t="s">
        <v>1242</v>
      </c>
      <c r="C225" s="4">
        <v>46125.78787037037</v>
      </c>
      <c r="D225" s="1" t="s">
        <v>690</v>
      </c>
      <c r="E225" s="1" t="s">
        <v>1243</v>
      </c>
      <c r="F225" s="3">
        <v>8.396901076E9</v>
      </c>
      <c r="G225" s="1" t="s">
        <v>46</v>
      </c>
      <c r="H225" s="1" t="s">
        <v>124</v>
      </c>
      <c r="I225" s="1" t="s">
        <v>1244</v>
      </c>
      <c r="J225" s="1" t="s">
        <v>43</v>
      </c>
    </row>
    <row r="226">
      <c r="A226" s="3">
        <v>89539.0</v>
      </c>
      <c r="B226" s="1" t="s">
        <v>1245</v>
      </c>
      <c r="C226" s="4">
        <v>46125.791608796295</v>
      </c>
      <c r="D226" s="1" t="s">
        <v>694</v>
      </c>
      <c r="E226" s="1" t="s">
        <v>1246</v>
      </c>
      <c r="F226" s="3">
        <v>9.829743343E9</v>
      </c>
      <c r="G226" s="1" t="s">
        <v>46</v>
      </c>
      <c r="H226" s="1" t="s">
        <v>285</v>
      </c>
      <c r="I226" s="1" t="s">
        <v>1247</v>
      </c>
      <c r="J226" s="1" t="s">
        <v>43</v>
      </c>
    </row>
    <row r="227">
      <c r="A227" s="3">
        <v>89540.0</v>
      </c>
      <c r="B227" s="1" t="s">
        <v>1248</v>
      </c>
      <c r="C227" s="4">
        <v>46125.79957175926</v>
      </c>
      <c r="D227" s="1" t="s">
        <v>694</v>
      </c>
      <c r="E227" s="1" t="s">
        <v>1249</v>
      </c>
      <c r="F227" s="3">
        <v>7.209278807E9</v>
      </c>
      <c r="G227" s="1" t="s">
        <v>46</v>
      </c>
      <c r="H227" s="1" t="s">
        <v>498</v>
      </c>
      <c r="I227" s="1" t="s">
        <v>1250</v>
      </c>
      <c r="J227" s="1" t="s">
        <v>43</v>
      </c>
    </row>
    <row r="228">
      <c r="A228" s="3">
        <v>89541.0</v>
      </c>
      <c r="B228" s="1" t="s">
        <v>1251</v>
      </c>
      <c r="C228" s="4">
        <v>46125.79961805556</v>
      </c>
      <c r="D228" s="1" t="s">
        <v>690</v>
      </c>
      <c r="E228" s="1" t="s">
        <v>1252</v>
      </c>
      <c r="F228" s="3">
        <v>9.351873294E9</v>
      </c>
      <c r="G228" s="1" t="s">
        <v>46</v>
      </c>
      <c r="H228" s="1" t="s">
        <v>152</v>
      </c>
      <c r="I228" s="1" t="s">
        <v>151</v>
      </c>
      <c r="J228" s="1" t="s">
        <v>43</v>
      </c>
    </row>
    <row r="229">
      <c r="A229" s="3">
        <v>89542.0</v>
      </c>
      <c r="B229" s="1" t="s">
        <v>1253</v>
      </c>
      <c r="C229" s="4">
        <v>46125.81528935185</v>
      </c>
      <c r="D229" s="1" t="s">
        <v>690</v>
      </c>
      <c r="E229" s="1" t="s">
        <v>1254</v>
      </c>
      <c r="F229" s="3">
        <v>7.033490001E9</v>
      </c>
      <c r="G229" s="1" t="s">
        <v>46</v>
      </c>
      <c r="H229" s="1" t="s">
        <v>152</v>
      </c>
      <c r="I229" s="1" t="s">
        <v>1010</v>
      </c>
      <c r="J229" s="1" t="s">
        <v>43</v>
      </c>
    </row>
    <row r="230">
      <c r="A230" s="3">
        <v>89543.0</v>
      </c>
      <c r="B230" s="1" t="s">
        <v>1255</v>
      </c>
      <c r="C230" s="4">
        <v>46125.902708333335</v>
      </c>
      <c r="D230" s="1" t="s">
        <v>694</v>
      </c>
      <c r="E230" s="7"/>
      <c r="F230" s="7"/>
      <c r="G230" s="1" t="s">
        <v>46</v>
      </c>
      <c r="H230" s="1" t="s">
        <v>1256</v>
      </c>
      <c r="I230" s="1" t="s">
        <v>1257</v>
      </c>
      <c r="J230" s="1" t="s">
        <v>43</v>
      </c>
    </row>
    <row r="231">
      <c r="A231" s="3">
        <v>89544.0</v>
      </c>
      <c r="B231" s="1" t="s">
        <v>1258</v>
      </c>
      <c r="C231" s="4">
        <v>46125.913564814815</v>
      </c>
      <c r="D231" s="1" t="s">
        <v>694</v>
      </c>
      <c r="E231" s="1" t="s">
        <v>1259</v>
      </c>
      <c r="F231" s="3">
        <v>9.319936143E9</v>
      </c>
      <c r="G231" s="1" t="s">
        <v>46</v>
      </c>
      <c r="H231" s="1" t="s">
        <v>241</v>
      </c>
      <c r="I231" s="1" t="s">
        <v>241</v>
      </c>
      <c r="J231" s="1" t="s">
        <v>43</v>
      </c>
    </row>
    <row r="232">
      <c r="A232" s="3">
        <v>89545.0</v>
      </c>
      <c r="B232" s="1" t="s">
        <v>1260</v>
      </c>
      <c r="C232" s="4">
        <v>46125.91570601852</v>
      </c>
      <c r="D232" s="1" t="s">
        <v>694</v>
      </c>
      <c r="E232" s="1" t="s">
        <v>1261</v>
      </c>
      <c r="F232" s="3">
        <v>9.521212906E9</v>
      </c>
      <c r="G232" s="1" t="s">
        <v>46</v>
      </c>
      <c r="H232" s="1" t="s">
        <v>285</v>
      </c>
      <c r="I232" s="1" t="s">
        <v>1262</v>
      </c>
      <c r="J232" s="1" t="s">
        <v>43</v>
      </c>
    </row>
    <row r="233">
      <c r="A233" s="3">
        <v>89546.0</v>
      </c>
      <c r="B233" s="1" t="s">
        <v>1263</v>
      </c>
      <c r="C233" s="4">
        <v>46125.95804398148</v>
      </c>
      <c r="E233" s="1" t="s">
        <v>1264</v>
      </c>
      <c r="F233" s="3">
        <v>7.015581388E9</v>
      </c>
      <c r="G233" s="7"/>
      <c r="H233" s="7"/>
      <c r="I233" s="7"/>
      <c r="J233" s="1" t="s">
        <v>1265</v>
      </c>
    </row>
    <row r="234">
      <c r="A234" s="3">
        <v>89547.0</v>
      </c>
      <c r="B234" s="1" t="s">
        <v>1266</v>
      </c>
      <c r="C234" s="4">
        <v>46126.161875</v>
      </c>
      <c r="D234" s="1" t="s">
        <v>694</v>
      </c>
      <c r="E234" s="1" t="s">
        <v>1267</v>
      </c>
      <c r="F234" s="3">
        <v>2.633828374E9</v>
      </c>
      <c r="G234" s="1" t="s">
        <v>842</v>
      </c>
      <c r="H234" s="1" t="s">
        <v>1268</v>
      </c>
      <c r="I234" s="1" t="s">
        <v>1269</v>
      </c>
      <c r="J234" s="1" t="s">
        <v>43</v>
      </c>
    </row>
    <row r="235">
      <c r="A235" s="3">
        <v>89548.0</v>
      </c>
      <c r="B235" s="1" t="s">
        <v>1270</v>
      </c>
      <c r="C235" s="4">
        <v>46126.36828703704</v>
      </c>
      <c r="D235" s="1" t="s">
        <v>690</v>
      </c>
      <c r="E235" s="1" t="s">
        <v>1271</v>
      </c>
      <c r="F235" s="3">
        <v>9.530375878E9</v>
      </c>
      <c r="G235" s="1" t="s">
        <v>46</v>
      </c>
      <c r="H235" s="1" t="s">
        <v>285</v>
      </c>
      <c r="I235" s="1" t="s">
        <v>284</v>
      </c>
      <c r="J235" s="1" t="s">
        <v>43</v>
      </c>
    </row>
    <row r="236">
      <c r="A236" s="3">
        <v>89549.0</v>
      </c>
      <c r="B236" s="1" t="s">
        <v>1272</v>
      </c>
      <c r="C236" s="4">
        <v>46126.380844907406</v>
      </c>
      <c r="D236" s="1" t="s">
        <v>694</v>
      </c>
      <c r="E236" s="7"/>
      <c r="F236" s="7"/>
      <c r="G236" s="1" t="s">
        <v>46</v>
      </c>
      <c r="H236" s="1" t="s">
        <v>53</v>
      </c>
      <c r="I236" s="1" t="s">
        <v>1057</v>
      </c>
      <c r="J236" s="1" t="s">
        <v>43</v>
      </c>
    </row>
    <row r="237">
      <c r="A237" s="3">
        <v>89550.0</v>
      </c>
      <c r="B237" s="1" t="s">
        <v>1272</v>
      </c>
      <c r="C237" s="4">
        <v>46126.3846875</v>
      </c>
      <c r="D237" s="1" t="s">
        <v>694</v>
      </c>
      <c r="E237" s="1" t="s">
        <v>1273</v>
      </c>
      <c r="F237" s="3">
        <v>7.985808665E9</v>
      </c>
      <c r="G237" s="1" t="s">
        <v>46</v>
      </c>
      <c r="H237" s="1" t="s">
        <v>53</v>
      </c>
      <c r="I237" s="1" t="s">
        <v>1057</v>
      </c>
      <c r="J237" s="1" t="s">
        <v>43</v>
      </c>
    </row>
    <row r="238">
      <c r="A238" s="3">
        <v>89551.0</v>
      </c>
      <c r="B238" s="1" t="s">
        <v>1274</v>
      </c>
      <c r="C238" s="4">
        <v>46126.4041087963</v>
      </c>
      <c r="D238" s="1" t="s">
        <v>694</v>
      </c>
      <c r="E238" s="1" t="s">
        <v>1275</v>
      </c>
      <c r="F238" s="3">
        <v>8.927809084E9</v>
      </c>
      <c r="G238" s="1" t="s">
        <v>46</v>
      </c>
      <c r="H238" s="1" t="s">
        <v>235</v>
      </c>
      <c r="I238" s="1" t="s">
        <v>1276</v>
      </c>
      <c r="J238" s="1" t="s">
        <v>43</v>
      </c>
    </row>
    <row r="239">
      <c r="A239" s="3">
        <v>89552.0</v>
      </c>
      <c r="B239" s="1" t="s">
        <v>1277</v>
      </c>
      <c r="C239" s="4">
        <v>46126.45130787037</v>
      </c>
      <c r="D239" s="1" t="s">
        <v>694</v>
      </c>
      <c r="E239" s="1" t="s">
        <v>1278</v>
      </c>
      <c r="F239" s="3">
        <v>7.598566949E9</v>
      </c>
      <c r="G239" s="1" t="s">
        <v>46</v>
      </c>
      <c r="H239" s="1" t="s">
        <v>152</v>
      </c>
      <c r="I239" s="1" t="s">
        <v>151</v>
      </c>
      <c r="J239" s="1" t="s">
        <v>43</v>
      </c>
    </row>
    <row r="240">
      <c r="A240" s="3">
        <v>89553.0</v>
      </c>
      <c r="B240" s="1" t="s">
        <v>1279</v>
      </c>
      <c r="C240" s="4">
        <v>46126.46475694444</v>
      </c>
      <c r="D240" s="1" t="s">
        <v>690</v>
      </c>
      <c r="E240" s="1" t="s">
        <v>1280</v>
      </c>
      <c r="F240" s="3">
        <v>9.905799328E9</v>
      </c>
      <c r="G240" s="1" t="s">
        <v>46</v>
      </c>
      <c r="H240" s="1" t="s">
        <v>148</v>
      </c>
      <c r="I240" s="1" t="s">
        <v>1281</v>
      </c>
      <c r="J240" s="1" t="s">
        <v>43</v>
      </c>
    </row>
    <row r="241">
      <c r="A241" s="3">
        <v>89554.0</v>
      </c>
      <c r="B241" s="1" t="s">
        <v>1282</v>
      </c>
      <c r="C241" s="4">
        <v>46126.510625</v>
      </c>
      <c r="D241" s="1" t="s">
        <v>694</v>
      </c>
      <c r="E241" s="1" t="s">
        <v>1283</v>
      </c>
      <c r="F241" s="1" t="s">
        <v>1284</v>
      </c>
      <c r="G241" s="1" t="s">
        <v>46</v>
      </c>
      <c r="H241" s="1" t="s">
        <v>63</v>
      </c>
      <c r="I241" s="1" t="s">
        <v>1285</v>
      </c>
      <c r="J241" s="1" t="s">
        <v>43</v>
      </c>
    </row>
    <row r="242">
      <c r="A242" s="3">
        <v>89555.0</v>
      </c>
      <c r="B242" s="1" t="s">
        <v>1286</v>
      </c>
      <c r="C242" s="4">
        <v>46126.564571759256</v>
      </c>
      <c r="D242" s="1" t="s">
        <v>694</v>
      </c>
      <c r="E242" s="1" t="s">
        <v>1287</v>
      </c>
      <c r="F242" s="3">
        <v>7.975407142E9</v>
      </c>
      <c r="G242" s="1" t="s">
        <v>46</v>
      </c>
      <c r="H242" s="1" t="s">
        <v>152</v>
      </c>
      <c r="I242" s="1" t="s">
        <v>1288</v>
      </c>
      <c r="J242" s="1" t="s">
        <v>43</v>
      </c>
    </row>
    <row r="243">
      <c r="A243" s="3">
        <v>89556.0</v>
      </c>
      <c r="B243" s="1" t="s">
        <v>1289</v>
      </c>
      <c r="C243" s="4">
        <v>46126.68004629629</v>
      </c>
      <c r="D243" s="1" t="s">
        <v>694</v>
      </c>
      <c r="E243" s="1" t="s">
        <v>1290</v>
      </c>
      <c r="F243" s="3">
        <v>-7.69646874E8</v>
      </c>
      <c r="G243" s="1" t="s">
        <v>993</v>
      </c>
      <c r="H243" s="1" t="s">
        <v>1291</v>
      </c>
      <c r="I243" s="1" t="s">
        <v>1292</v>
      </c>
      <c r="J243" s="1" t="s">
        <v>303</v>
      </c>
    </row>
    <row r="244">
      <c r="A244" s="3">
        <v>89557.0</v>
      </c>
      <c r="B244" s="1" t="s">
        <v>1293</v>
      </c>
      <c r="C244" s="4">
        <v>46126.714375</v>
      </c>
      <c r="D244" s="1" t="s">
        <v>690</v>
      </c>
      <c r="E244" s="1" t="s">
        <v>1294</v>
      </c>
      <c r="F244" s="3">
        <v>7.418801815E9</v>
      </c>
      <c r="G244" s="1" t="s">
        <v>46</v>
      </c>
      <c r="H244" s="1" t="s">
        <v>118</v>
      </c>
      <c r="I244" s="1" t="s">
        <v>473</v>
      </c>
      <c r="J244" s="1" t="s">
        <v>43</v>
      </c>
    </row>
    <row r="245">
      <c r="A245" s="3">
        <v>89558.0</v>
      </c>
      <c r="B245" s="1" t="s">
        <v>1295</v>
      </c>
      <c r="C245" s="4">
        <v>46126.72820601852</v>
      </c>
      <c r="D245" s="1" t="s">
        <v>690</v>
      </c>
      <c r="E245" s="1" t="s">
        <v>1296</v>
      </c>
      <c r="F245" s="3">
        <v>9.65853394E9</v>
      </c>
      <c r="G245" s="1" t="s">
        <v>46</v>
      </c>
      <c r="H245" s="1" t="s">
        <v>140</v>
      </c>
      <c r="I245" s="1" t="s">
        <v>823</v>
      </c>
      <c r="J245" s="1" t="s">
        <v>43</v>
      </c>
    </row>
    <row r="246">
      <c r="A246" s="3">
        <v>89559.0</v>
      </c>
      <c r="B246" s="1" t="s">
        <v>1297</v>
      </c>
      <c r="C246" s="4">
        <v>46126.769537037035</v>
      </c>
      <c r="D246" s="1" t="s">
        <v>694</v>
      </c>
      <c r="E246" s="1" t="s">
        <v>1298</v>
      </c>
      <c r="F246" s="3">
        <v>2.034008101E9</v>
      </c>
      <c r="G246" s="1" t="s">
        <v>294</v>
      </c>
      <c r="H246" s="1" t="s">
        <v>1299</v>
      </c>
      <c r="I246" s="1" t="s">
        <v>1300</v>
      </c>
      <c r="J246" s="1" t="s">
        <v>43</v>
      </c>
    </row>
    <row r="247">
      <c r="A247" s="3">
        <v>89560.0</v>
      </c>
      <c r="B247" s="1" t="s">
        <v>1301</v>
      </c>
      <c r="C247" s="4">
        <v>46126.770266203705</v>
      </c>
      <c r="D247" s="1" t="s">
        <v>694</v>
      </c>
      <c r="E247" s="1" t="s">
        <v>1302</v>
      </c>
      <c r="F247" s="3">
        <v>6.381949891E9</v>
      </c>
      <c r="G247" s="1" t="s">
        <v>46</v>
      </c>
      <c r="H247" s="1" t="s">
        <v>118</v>
      </c>
      <c r="I247" s="1" t="s">
        <v>473</v>
      </c>
      <c r="J247" s="1" t="s">
        <v>43</v>
      </c>
    </row>
    <row r="248">
      <c r="A248" s="3">
        <v>89561.0</v>
      </c>
      <c r="B248" s="1" t="s">
        <v>1303</v>
      </c>
      <c r="C248" s="4">
        <v>46126.77888888889</v>
      </c>
      <c r="D248" s="1" t="s">
        <v>694</v>
      </c>
      <c r="E248" s="1" t="s">
        <v>1304</v>
      </c>
      <c r="F248" s="3">
        <v>8.091466932E9</v>
      </c>
      <c r="G248" s="1" t="s">
        <v>46</v>
      </c>
      <c r="H248" s="1" t="s">
        <v>561</v>
      </c>
      <c r="I248" s="1" t="s">
        <v>889</v>
      </c>
      <c r="J248" s="1" t="s">
        <v>43</v>
      </c>
    </row>
    <row r="249">
      <c r="A249" s="3">
        <v>89562.0</v>
      </c>
      <c r="B249" s="1" t="s">
        <v>617</v>
      </c>
      <c r="C249" s="4">
        <v>46126.99728009259</v>
      </c>
      <c r="D249" s="1" t="s">
        <v>694</v>
      </c>
      <c r="E249" s="1" t="s">
        <v>619</v>
      </c>
      <c r="F249" s="3">
        <v>8.265072577E9</v>
      </c>
      <c r="G249" s="1" t="s">
        <v>46</v>
      </c>
      <c r="H249" s="1" t="s">
        <v>63</v>
      </c>
      <c r="I249" s="1" t="s">
        <v>618</v>
      </c>
      <c r="J249" s="1" t="s">
        <v>43</v>
      </c>
    </row>
    <row r="250">
      <c r="A250" s="3">
        <v>89563.0</v>
      </c>
      <c r="B250" s="1" t="s">
        <v>1305</v>
      </c>
      <c r="C250" s="4">
        <v>46127.037314814814</v>
      </c>
      <c r="D250" s="1" t="s">
        <v>694</v>
      </c>
      <c r="E250" s="1" t="s">
        <v>1306</v>
      </c>
      <c r="F250" s="3">
        <v>7.317741167E9</v>
      </c>
      <c r="G250" s="1" t="s">
        <v>46</v>
      </c>
      <c r="H250" s="1" t="s">
        <v>53</v>
      </c>
      <c r="I250" s="1" t="s">
        <v>1307</v>
      </c>
      <c r="J250" s="1" t="s">
        <v>43</v>
      </c>
    </row>
    <row r="251">
      <c r="A251" s="3">
        <v>89564.0</v>
      </c>
      <c r="B251" s="1" t="s">
        <v>1308</v>
      </c>
      <c r="C251" s="4">
        <v>46127.04935185185</v>
      </c>
      <c r="D251" s="1" t="s">
        <v>690</v>
      </c>
      <c r="E251" s="1" t="s">
        <v>1309</v>
      </c>
      <c r="F251" s="3">
        <v>7.852981265E9</v>
      </c>
      <c r="G251" s="1" t="s">
        <v>46</v>
      </c>
      <c r="H251" s="1" t="s">
        <v>152</v>
      </c>
      <c r="I251" s="1" t="s">
        <v>151</v>
      </c>
      <c r="J251" s="1" t="s">
        <v>43</v>
      </c>
    </row>
    <row r="252">
      <c r="A252" s="3">
        <v>89565.0</v>
      </c>
      <c r="B252" s="1" t="s">
        <v>1310</v>
      </c>
      <c r="C252" s="4">
        <v>46127.07710648148</v>
      </c>
      <c r="D252" s="1" t="s">
        <v>694</v>
      </c>
      <c r="E252" s="1" t="s">
        <v>1311</v>
      </c>
      <c r="F252" s="3">
        <v>9.808443726E9</v>
      </c>
      <c r="G252" s="1" t="s">
        <v>294</v>
      </c>
      <c r="H252" s="1" t="s">
        <v>1312</v>
      </c>
      <c r="I252" s="1" t="s">
        <v>1313</v>
      </c>
      <c r="J252" s="1" t="s">
        <v>43</v>
      </c>
    </row>
    <row r="253">
      <c r="A253" s="3">
        <v>89566.0</v>
      </c>
      <c r="B253" s="1" t="s">
        <v>1314</v>
      </c>
      <c r="C253" s="4">
        <v>46127.11913194445</v>
      </c>
      <c r="D253" s="1" t="s">
        <v>694</v>
      </c>
      <c r="E253" s="1" t="s">
        <v>1315</v>
      </c>
      <c r="F253" s="3">
        <v>7.384020618E9</v>
      </c>
      <c r="G253" s="1" t="s">
        <v>577</v>
      </c>
      <c r="H253" s="1" t="s">
        <v>576</v>
      </c>
      <c r="I253" s="1" t="s">
        <v>576</v>
      </c>
      <c r="J253" s="1" t="s">
        <v>43</v>
      </c>
    </row>
    <row r="254">
      <c r="A254" s="3">
        <v>89567.0</v>
      </c>
      <c r="B254" s="1" t="s">
        <v>1316</v>
      </c>
      <c r="C254" s="4">
        <v>46127.16100694444</v>
      </c>
      <c r="D254" s="1" t="s">
        <v>690</v>
      </c>
      <c r="E254" s="1" t="s">
        <v>1317</v>
      </c>
      <c r="F254" s="10">
        <v>1.2132E10</v>
      </c>
      <c r="G254" s="1" t="s">
        <v>294</v>
      </c>
      <c r="H254" s="1" t="s">
        <v>964</v>
      </c>
      <c r="I254" s="1" t="s">
        <v>1318</v>
      </c>
      <c r="J254" s="1" t="s">
        <v>43</v>
      </c>
    </row>
    <row r="255">
      <c r="A255" s="3">
        <v>89568.0</v>
      </c>
      <c r="B255" s="1" t="s">
        <v>1319</v>
      </c>
      <c r="C255" s="4">
        <v>46127.21109953704</v>
      </c>
      <c r="D255" s="1" t="s">
        <v>694</v>
      </c>
      <c r="E255" s="1" t="s">
        <v>1320</v>
      </c>
      <c r="F255" s="3">
        <v>7.032644106E9</v>
      </c>
      <c r="G255" s="1" t="s">
        <v>46</v>
      </c>
      <c r="H255" s="1" t="s">
        <v>104</v>
      </c>
      <c r="I255" s="1" t="s">
        <v>103</v>
      </c>
      <c r="J255" s="1" t="s">
        <v>43</v>
      </c>
    </row>
    <row r="256">
      <c r="A256" s="3">
        <v>89569.0</v>
      </c>
      <c r="B256" s="1" t="s">
        <v>1321</v>
      </c>
      <c r="C256" s="4">
        <v>46127.40204861111</v>
      </c>
      <c r="D256" s="1" t="s">
        <v>694</v>
      </c>
      <c r="E256" s="1" t="s">
        <v>1322</v>
      </c>
      <c r="F256" s="3">
        <v>9.204947413E9</v>
      </c>
      <c r="G256" s="1" t="s">
        <v>46</v>
      </c>
      <c r="H256" s="1" t="s">
        <v>124</v>
      </c>
      <c r="I256" s="1" t="s">
        <v>315</v>
      </c>
      <c r="J256" s="1" t="s">
        <v>43</v>
      </c>
    </row>
    <row r="257">
      <c r="A257" s="3">
        <v>89570.0</v>
      </c>
      <c r="B257" s="1" t="s">
        <v>1323</v>
      </c>
      <c r="C257" s="4">
        <v>46127.43269675926</v>
      </c>
      <c r="D257" s="1" t="s">
        <v>690</v>
      </c>
      <c r="E257" s="1" t="s">
        <v>1324</v>
      </c>
      <c r="F257" s="3">
        <v>9.443881352E9</v>
      </c>
      <c r="G257" s="1" t="s">
        <v>46</v>
      </c>
      <c r="H257" s="1" t="s">
        <v>118</v>
      </c>
      <c r="I257" s="1" t="s">
        <v>473</v>
      </c>
      <c r="J257" s="1" t="s">
        <v>43</v>
      </c>
    </row>
    <row r="258">
      <c r="A258" s="3">
        <v>89571.0</v>
      </c>
      <c r="B258" s="1" t="s">
        <v>1325</v>
      </c>
      <c r="C258" s="4">
        <v>46127.44306712963</v>
      </c>
      <c r="D258" s="1" t="s">
        <v>690</v>
      </c>
      <c r="E258" s="1" t="s">
        <v>1326</v>
      </c>
      <c r="F258" s="3">
        <v>9.068957406E9</v>
      </c>
      <c r="G258" s="1" t="s">
        <v>46</v>
      </c>
      <c r="H258" s="1" t="s">
        <v>53</v>
      </c>
      <c r="I258" s="1" t="s">
        <v>367</v>
      </c>
      <c r="J258" s="1" t="s">
        <v>43</v>
      </c>
    </row>
    <row r="259">
      <c r="A259" s="3">
        <v>89572.0</v>
      </c>
      <c r="B259" s="1" t="s">
        <v>582</v>
      </c>
      <c r="C259" s="4">
        <v>46127.47002314815</v>
      </c>
      <c r="D259" s="1" t="s">
        <v>694</v>
      </c>
      <c r="E259" s="1" t="s">
        <v>583</v>
      </c>
      <c r="F259" s="3">
        <v>9.538167967E9</v>
      </c>
      <c r="G259" s="1" t="s">
        <v>46</v>
      </c>
      <c r="H259" s="1" t="s">
        <v>152</v>
      </c>
      <c r="I259" s="1" t="s">
        <v>151</v>
      </c>
      <c r="J259" s="1" t="s">
        <v>43</v>
      </c>
    </row>
    <row r="260">
      <c r="A260" s="3">
        <v>89573.0</v>
      </c>
      <c r="B260" s="1" t="s">
        <v>1327</v>
      </c>
      <c r="C260" s="4">
        <v>46127.49506944444</v>
      </c>
      <c r="D260" s="1" t="s">
        <v>694</v>
      </c>
      <c r="E260" s="1" t="s">
        <v>1328</v>
      </c>
      <c r="F260" s="3">
        <v>9.136389015E9</v>
      </c>
      <c r="G260" s="1" t="s">
        <v>46</v>
      </c>
      <c r="H260" s="1" t="s">
        <v>63</v>
      </c>
      <c r="I260" s="1" t="s">
        <v>85</v>
      </c>
      <c r="J260" s="1" t="s">
        <v>43</v>
      </c>
    </row>
    <row r="261">
      <c r="A261" s="3">
        <v>89574.0</v>
      </c>
      <c r="B261" s="1" t="s">
        <v>1329</v>
      </c>
      <c r="C261" s="4">
        <v>46127.50971064815</v>
      </c>
      <c r="D261" s="1" t="s">
        <v>694</v>
      </c>
      <c r="E261" s="1" t="s">
        <v>1330</v>
      </c>
      <c r="F261" s="3">
        <v>9.790731702E9</v>
      </c>
      <c r="G261" s="1" t="s">
        <v>46</v>
      </c>
      <c r="H261" s="1" t="s">
        <v>118</v>
      </c>
      <c r="I261" s="1" t="s">
        <v>473</v>
      </c>
      <c r="J261" s="1" t="s">
        <v>43</v>
      </c>
    </row>
    <row r="262">
      <c r="A262" s="3">
        <v>89575.0</v>
      </c>
      <c r="B262" s="1" t="s">
        <v>1331</v>
      </c>
      <c r="C262" s="4">
        <v>46127.51021990741</v>
      </c>
      <c r="D262" s="1" t="s">
        <v>694</v>
      </c>
      <c r="E262" s="1" t="s">
        <v>1332</v>
      </c>
      <c r="F262" s="3">
        <v>9.167243818E9</v>
      </c>
      <c r="G262" s="1" t="s">
        <v>46</v>
      </c>
      <c r="H262" s="1" t="s">
        <v>63</v>
      </c>
      <c r="I262" s="1" t="s">
        <v>85</v>
      </c>
      <c r="J262" s="1" t="s">
        <v>43</v>
      </c>
    </row>
    <row r="263">
      <c r="A263" s="3">
        <v>89576.0</v>
      </c>
      <c r="B263" s="1" t="s">
        <v>1333</v>
      </c>
      <c r="C263" s="4">
        <v>46127.514560185184</v>
      </c>
      <c r="D263" s="1" t="s">
        <v>694</v>
      </c>
      <c r="E263" s="1" t="s">
        <v>1334</v>
      </c>
      <c r="F263" s="3">
        <v>9.901293002E9</v>
      </c>
      <c r="G263" s="1" t="s">
        <v>46</v>
      </c>
      <c r="H263" s="1" t="s">
        <v>152</v>
      </c>
      <c r="I263" s="1" t="s">
        <v>151</v>
      </c>
      <c r="J263" s="1" t="s">
        <v>43</v>
      </c>
    </row>
    <row r="264">
      <c r="A264" s="3">
        <v>89577.0</v>
      </c>
      <c r="B264" s="1" t="s">
        <v>1335</v>
      </c>
      <c r="C264" s="4">
        <v>46127.57125</v>
      </c>
      <c r="E264" s="1" t="s">
        <v>1336</v>
      </c>
      <c r="F264" s="3">
        <v>9.921946309E9</v>
      </c>
      <c r="G264" s="7"/>
      <c r="H264" s="7"/>
      <c r="I264" s="7"/>
      <c r="J264" s="1" t="s">
        <v>1335</v>
      </c>
    </row>
    <row r="265">
      <c r="A265" s="3">
        <v>89578.0</v>
      </c>
      <c r="B265" s="1" t="s">
        <v>1337</v>
      </c>
      <c r="C265" s="4">
        <v>46127.65552083333</v>
      </c>
      <c r="D265" s="1" t="s">
        <v>694</v>
      </c>
      <c r="E265" s="1" t="s">
        <v>1338</v>
      </c>
      <c r="F265" s="3">
        <v>7.411602401E9</v>
      </c>
      <c r="G265" s="1" t="s">
        <v>46</v>
      </c>
      <c r="H265" s="1" t="s">
        <v>209</v>
      </c>
      <c r="I265" s="1" t="s">
        <v>1339</v>
      </c>
      <c r="J265" s="1" t="s">
        <v>43</v>
      </c>
    </row>
    <row r="266">
      <c r="A266" s="3">
        <v>89579.0</v>
      </c>
      <c r="B266" s="1" t="s">
        <v>1340</v>
      </c>
      <c r="C266" s="4">
        <v>46127.700057870374</v>
      </c>
      <c r="D266" s="1" t="s">
        <v>690</v>
      </c>
      <c r="E266" s="1" t="s">
        <v>1341</v>
      </c>
      <c r="F266" s="10">
        <v>9.1956E11</v>
      </c>
      <c r="G266" s="1" t="s">
        <v>46</v>
      </c>
      <c r="H266" s="1" t="s">
        <v>63</v>
      </c>
      <c r="I266" s="1" t="s">
        <v>85</v>
      </c>
      <c r="J266" s="1" t="s">
        <v>43</v>
      </c>
    </row>
    <row r="267">
      <c r="A267" s="3">
        <v>89580.0</v>
      </c>
      <c r="B267" s="1" t="s">
        <v>1342</v>
      </c>
      <c r="C267" s="4">
        <v>46127.72309027778</v>
      </c>
      <c r="D267" s="1" t="s">
        <v>694</v>
      </c>
      <c r="E267" s="1" t="s">
        <v>1343</v>
      </c>
      <c r="F267" s="3">
        <v>8.792863261E9</v>
      </c>
      <c r="G267" s="1" t="s">
        <v>46</v>
      </c>
      <c r="H267" s="1" t="s">
        <v>152</v>
      </c>
      <c r="I267" s="1" t="s">
        <v>151</v>
      </c>
      <c r="J267" s="1" t="s">
        <v>43</v>
      </c>
    </row>
    <row r="268">
      <c r="A268" s="3">
        <v>89581.0</v>
      </c>
      <c r="B268" s="1" t="s">
        <v>1344</v>
      </c>
      <c r="C268" s="4">
        <v>46127.780706018515</v>
      </c>
      <c r="D268" s="1" t="s">
        <v>690</v>
      </c>
      <c r="E268" s="1" t="s">
        <v>1345</v>
      </c>
      <c r="F268" s="3">
        <v>7.989855035E9</v>
      </c>
      <c r="G268" s="1" t="s">
        <v>46</v>
      </c>
      <c r="H268" s="1" t="s">
        <v>746</v>
      </c>
      <c r="I268" s="1" t="s">
        <v>796</v>
      </c>
      <c r="J268" s="1" t="s">
        <v>43</v>
      </c>
    </row>
    <row r="269">
      <c r="A269" s="3">
        <v>89582.0</v>
      </c>
      <c r="B269" s="1" t="s">
        <v>1346</v>
      </c>
      <c r="C269" s="4">
        <v>46127.83908564815</v>
      </c>
      <c r="D269" s="1" t="s">
        <v>690</v>
      </c>
      <c r="E269" s="1" t="s">
        <v>1347</v>
      </c>
      <c r="F269" s="3">
        <v>9.753760466E9</v>
      </c>
      <c r="G269" s="1" t="s">
        <v>46</v>
      </c>
      <c r="H269" s="1" t="s">
        <v>203</v>
      </c>
      <c r="I269" s="1" t="s">
        <v>1348</v>
      </c>
      <c r="J269" s="1" t="s">
        <v>43</v>
      </c>
    </row>
    <row r="270">
      <c r="A270" s="3">
        <v>89583.0</v>
      </c>
      <c r="B270" s="1" t="s">
        <v>1349</v>
      </c>
      <c r="C270" s="4">
        <v>46127.87516203704</v>
      </c>
      <c r="D270" s="1" t="s">
        <v>690</v>
      </c>
      <c r="E270" s="1" t="s">
        <v>1350</v>
      </c>
      <c r="F270" s="3">
        <v>7.811081552E9</v>
      </c>
      <c r="G270" s="1" t="s">
        <v>46</v>
      </c>
      <c r="H270" s="1" t="s">
        <v>235</v>
      </c>
      <c r="I270" s="1" t="s">
        <v>1351</v>
      </c>
      <c r="J270" s="1" t="s">
        <v>43</v>
      </c>
    </row>
    <row r="271">
      <c r="A271" s="3">
        <v>89584.0</v>
      </c>
      <c r="B271" s="1" t="s">
        <v>240</v>
      </c>
      <c r="C271" s="4">
        <v>46127.875914351855</v>
      </c>
      <c r="D271" s="1" t="s">
        <v>694</v>
      </c>
      <c r="E271" s="1" t="s">
        <v>1352</v>
      </c>
      <c r="F271" s="3">
        <v>8.178167994E9</v>
      </c>
      <c r="G271" s="1" t="s">
        <v>46</v>
      </c>
      <c r="H271" s="1" t="s">
        <v>241</v>
      </c>
      <c r="I271" s="1" t="s">
        <v>241</v>
      </c>
      <c r="J271" s="1" t="s">
        <v>43</v>
      </c>
    </row>
    <row r="272">
      <c r="A272" s="3">
        <v>89585.0</v>
      </c>
      <c r="B272" s="1" t="s">
        <v>1353</v>
      </c>
      <c r="C272" s="4">
        <v>46127.93533564815</v>
      </c>
      <c r="D272" s="1" t="s">
        <v>694</v>
      </c>
      <c r="E272" s="1" t="s">
        <v>1354</v>
      </c>
      <c r="F272" s="3">
        <v>8.884914086E9</v>
      </c>
      <c r="G272" s="1" t="s">
        <v>46</v>
      </c>
      <c r="H272" s="1" t="s">
        <v>152</v>
      </c>
      <c r="I272" s="1" t="s">
        <v>151</v>
      </c>
      <c r="J272" s="1" t="s">
        <v>43</v>
      </c>
    </row>
    <row r="273">
      <c r="A273" s="3">
        <v>89586.0</v>
      </c>
      <c r="B273" s="1" t="s">
        <v>1355</v>
      </c>
      <c r="C273" s="4">
        <v>46127.95704861111</v>
      </c>
      <c r="D273" s="1" t="s">
        <v>694</v>
      </c>
      <c r="E273" s="1" t="s">
        <v>1356</v>
      </c>
      <c r="F273" s="3">
        <v>8.827288678E9</v>
      </c>
      <c r="G273" s="1" t="s">
        <v>46</v>
      </c>
      <c r="H273" s="1" t="s">
        <v>203</v>
      </c>
      <c r="I273" s="1" t="s">
        <v>539</v>
      </c>
      <c r="J273" s="1" t="s">
        <v>43</v>
      </c>
    </row>
    <row r="274">
      <c r="A274" s="3">
        <v>89587.0</v>
      </c>
      <c r="B274" s="1" t="s">
        <v>1357</v>
      </c>
      <c r="C274" s="4">
        <v>46127.96178240741</v>
      </c>
      <c r="D274" s="1" t="s">
        <v>690</v>
      </c>
      <c r="E274" s="1" t="s">
        <v>1358</v>
      </c>
      <c r="F274" s="3">
        <v>8.924090716E9</v>
      </c>
      <c r="G274" s="1" t="s">
        <v>46</v>
      </c>
      <c r="H274" s="1" t="s">
        <v>53</v>
      </c>
      <c r="I274" s="1" t="s">
        <v>1307</v>
      </c>
      <c r="J274" s="1" t="s">
        <v>43</v>
      </c>
    </row>
    <row r="275">
      <c r="A275" s="3">
        <v>89588.0</v>
      </c>
      <c r="B275" s="1" t="s">
        <v>1359</v>
      </c>
      <c r="C275" s="4">
        <v>46127.975648148145</v>
      </c>
      <c r="D275" s="1" t="s">
        <v>694</v>
      </c>
      <c r="E275" s="1" t="s">
        <v>1360</v>
      </c>
      <c r="F275" s="1" t="s">
        <v>1361</v>
      </c>
      <c r="G275" s="1" t="s">
        <v>294</v>
      </c>
      <c r="H275" s="1" t="s">
        <v>1312</v>
      </c>
      <c r="I275" s="1" t="s">
        <v>1362</v>
      </c>
      <c r="J275" s="7"/>
      <c r="K275" s="7"/>
    </row>
    <row r="276">
      <c r="A276" s="3">
        <v>89589.0</v>
      </c>
      <c r="B276" s="1" t="s">
        <v>1363</v>
      </c>
      <c r="C276" s="4">
        <v>46128.110972222225</v>
      </c>
      <c r="D276" s="1" t="s">
        <v>690</v>
      </c>
      <c r="E276" s="1" t="s">
        <v>1364</v>
      </c>
      <c r="F276" s="3">
        <v>9.524185023E9</v>
      </c>
      <c r="G276" s="1" t="s">
        <v>46</v>
      </c>
      <c r="H276" s="1" t="s">
        <v>118</v>
      </c>
      <c r="I276" s="1" t="s">
        <v>1365</v>
      </c>
      <c r="J276" s="1" t="s">
        <v>43</v>
      </c>
    </row>
    <row r="277">
      <c r="A277" s="3">
        <v>89590.0</v>
      </c>
      <c r="B277" s="1" t="s">
        <v>1366</v>
      </c>
      <c r="C277" s="4">
        <v>46128.368738425925</v>
      </c>
      <c r="D277" s="1" t="s">
        <v>690</v>
      </c>
      <c r="E277" s="1" t="s">
        <v>1367</v>
      </c>
      <c r="F277" s="3">
        <v>8.219111498E9</v>
      </c>
      <c r="G277" s="1" t="s">
        <v>46</v>
      </c>
      <c r="H277" s="1" t="s">
        <v>561</v>
      </c>
      <c r="I277" s="1" t="s">
        <v>1368</v>
      </c>
      <c r="J277" s="1" t="s">
        <v>43</v>
      </c>
    </row>
    <row r="278">
      <c r="A278" s="3">
        <v>89591.0</v>
      </c>
      <c r="B278" s="1" t="s">
        <v>1369</v>
      </c>
      <c r="C278" s="4">
        <v>46128.38315972222</v>
      </c>
      <c r="D278" s="1" t="s">
        <v>690</v>
      </c>
      <c r="E278" s="1" t="s">
        <v>1370</v>
      </c>
      <c r="F278" s="3">
        <v>7.981405549E9</v>
      </c>
      <c r="G278" s="1" t="s">
        <v>46</v>
      </c>
      <c r="H278" s="1" t="s">
        <v>746</v>
      </c>
      <c r="I278" s="1" t="s">
        <v>796</v>
      </c>
      <c r="J278" s="1" t="s">
        <v>43</v>
      </c>
    </row>
    <row r="279">
      <c r="A279" s="3">
        <v>89592.0</v>
      </c>
      <c r="B279" s="1" t="s">
        <v>1371</v>
      </c>
      <c r="C279" s="4">
        <v>46128.40751157407</v>
      </c>
      <c r="D279" s="1" t="s">
        <v>690</v>
      </c>
      <c r="E279" s="1" t="s">
        <v>1372</v>
      </c>
      <c r="F279" s="3">
        <v>9.441683606E9</v>
      </c>
      <c r="G279" s="1" t="s">
        <v>46</v>
      </c>
      <c r="H279" s="1" t="s">
        <v>104</v>
      </c>
      <c r="I279" s="1" t="s">
        <v>1373</v>
      </c>
      <c r="J279" s="1" t="s">
        <v>43</v>
      </c>
    </row>
    <row r="280">
      <c r="A280" s="3">
        <v>89593.0</v>
      </c>
      <c r="B280" s="1" t="s">
        <v>1374</v>
      </c>
      <c r="C280" s="4">
        <v>46128.4681712963</v>
      </c>
      <c r="D280" s="1" t="s">
        <v>694</v>
      </c>
      <c r="E280" s="1" t="s">
        <v>1375</v>
      </c>
      <c r="F280" s="3">
        <v>9.40809663E9</v>
      </c>
      <c r="G280" s="1" t="s">
        <v>46</v>
      </c>
      <c r="H280" s="1" t="s">
        <v>198</v>
      </c>
      <c r="I280" s="1" t="s">
        <v>1376</v>
      </c>
      <c r="J280" s="1" t="s">
        <v>43</v>
      </c>
    </row>
    <row r="281">
      <c r="A281" s="3">
        <v>89594.0</v>
      </c>
      <c r="B281" s="1" t="s">
        <v>1377</v>
      </c>
      <c r="C281" s="4">
        <v>46128.474328703705</v>
      </c>
      <c r="D281" s="1" t="s">
        <v>694</v>
      </c>
      <c r="E281" s="1" t="s">
        <v>1378</v>
      </c>
      <c r="F281" s="3">
        <v>9.959032828E9</v>
      </c>
      <c r="G281" s="1" t="s">
        <v>46</v>
      </c>
      <c r="H281" s="1" t="s">
        <v>104</v>
      </c>
      <c r="I281" s="1" t="s">
        <v>103</v>
      </c>
      <c r="J281" s="7"/>
      <c r="K281" s="7"/>
    </row>
    <row r="282">
      <c r="A282" s="3">
        <v>89595.0</v>
      </c>
      <c r="B282" s="1" t="s">
        <v>1379</v>
      </c>
      <c r="C282" s="4">
        <v>46128.49752314815</v>
      </c>
      <c r="D282" s="1" t="s">
        <v>694</v>
      </c>
      <c r="E282" s="1" t="s">
        <v>1380</v>
      </c>
      <c r="F282" s="10">
        <v>1.4088E10</v>
      </c>
      <c r="G282" s="1" t="s">
        <v>294</v>
      </c>
      <c r="H282" s="1" t="s">
        <v>964</v>
      </c>
      <c r="I282" s="1" t="s">
        <v>1381</v>
      </c>
      <c r="J282" s="1" t="s">
        <v>43</v>
      </c>
    </row>
    <row r="283">
      <c r="A283" s="3">
        <v>89596.0</v>
      </c>
      <c r="B283" s="1" t="s">
        <v>1382</v>
      </c>
      <c r="C283" s="4">
        <v>46128.547800925924</v>
      </c>
      <c r="D283" s="1" t="s">
        <v>690</v>
      </c>
      <c r="E283" s="1" t="s">
        <v>1383</v>
      </c>
      <c r="F283" s="3">
        <v>9.036343397E9</v>
      </c>
      <c r="G283" s="1" t="s">
        <v>46</v>
      </c>
      <c r="H283" s="1" t="s">
        <v>63</v>
      </c>
      <c r="I283" s="1" t="s">
        <v>97</v>
      </c>
      <c r="J283" s="1" t="s">
        <v>43</v>
      </c>
    </row>
    <row r="284">
      <c r="A284" s="3">
        <v>89597.0</v>
      </c>
      <c r="B284" s="1" t="s">
        <v>1384</v>
      </c>
      <c r="C284" s="4">
        <v>46128.560590277775</v>
      </c>
      <c r="D284" s="1" t="s">
        <v>690</v>
      </c>
      <c r="E284" s="7"/>
      <c r="F284" s="7"/>
      <c r="G284" s="1" t="s">
        <v>46</v>
      </c>
      <c r="H284" s="1" t="s">
        <v>331</v>
      </c>
      <c r="I284" s="1" t="s">
        <v>1385</v>
      </c>
      <c r="K284" s="7"/>
    </row>
    <row r="285">
      <c r="A285" s="3">
        <v>89598.0</v>
      </c>
      <c r="B285" s="1" t="s">
        <v>1386</v>
      </c>
      <c r="C285" s="4">
        <v>46128.577893518515</v>
      </c>
      <c r="D285" s="1" t="s">
        <v>690</v>
      </c>
      <c r="E285" s="1" t="s">
        <v>1387</v>
      </c>
      <c r="F285" s="3">
        <v>7.404834665E9</v>
      </c>
      <c r="G285" s="1" t="s">
        <v>46</v>
      </c>
      <c r="H285" s="1" t="s">
        <v>124</v>
      </c>
      <c r="I285" s="1" t="s">
        <v>1388</v>
      </c>
      <c r="J285" s="1" t="s">
        <v>43</v>
      </c>
    </row>
    <row r="286">
      <c r="A286" s="3">
        <v>89599.0</v>
      </c>
      <c r="B286" s="1" t="s">
        <v>1389</v>
      </c>
      <c r="C286" s="4">
        <v>46128.5875</v>
      </c>
      <c r="D286" s="1" t="s">
        <v>694</v>
      </c>
      <c r="E286" s="1" t="s">
        <v>1390</v>
      </c>
      <c r="F286" s="3">
        <v>9.953395594E9</v>
      </c>
      <c r="G286" s="1" t="s">
        <v>46</v>
      </c>
      <c r="H286" s="1" t="s">
        <v>53</v>
      </c>
      <c r="I286" s="1" t="s">
        <v>367</v>
      </c>
      <c r="J286" s="1" t="s">
        <v>43</v>
      </c>
    </row>
    <row r="287">
      <c r="A287" s="3">
        <v>89600.0</v>
      </c>
      <c r="B287" s="1" t="s">
        <v>1391</v>
      </c>
      <c r="C287" s="4">
        <v>46128.68398148148</v>
      </c>
      <c r="D287" s="1" t="s">
        <v>690</v>
      </c>
      <c r="E287" s="1" t="s">
        <v>1392</v>
      </c>
      <c r="F287" s="3">
        <v>8.838953343E9</v>
      </c>
      <c r="G287" s="1" t="s">
        <v>46</v>
      </c>
      <c r="H287" s="1" t="s">
        <v>1393</v>
      </c>
      <c r="I287" s="1" t="s">
        <v>1393</v>
      </c>
      <c r="J287" s="1" t="s">
        <v>43</v>
      </c>
    </row>
    <row r="288">
      <c r="A288" s="3">
        <v>89601.0</v>
      </c>
      <c r="B288" s="1" t="s">
        <v>1394</v>
      </c>
      <c r="C288" s="4">
        <v>46128.68959490741</v>
      </c>
      <c r="D288" s="1" t="s">
        <v>690</v>
      </c>
      <c r="E288" s="1" t="s">
        <v>1395</v>
      </c>
      <c r="F288" s="3">
        <v>8.077388516E9</v>
      </c>
      <c r="G288" s="1" t="s">
        <v>46</v>
      </c>
      <c r="H288" s="1" t="s">
        <v>53</v>
      </c>
      <c r="I288" s="1" t="s">
        <v>1152</v>
      </c>
      <c r="J288" s="1" t="s">
        <v>43</v>
      </c>
    </row>
    <row r="289">
      <c r="A289" s="3">
        <v>89602.0</v>
      </c>
      <c r="B289" s="1" t="s">
        <v>1396</v>
      </c>
      <c r="C289" s="4">
        <v>46128.69917824074</v>
      </c>
      <c r="D289" s="1" t="s">
        <v>694</v>
      </c>
      <c r="E289" s="1" t="s">
        <v>1397</v>
      </c>
      <c r="F289" s="3">
        <v>9.619613573E9</v>
      </c>
      <c r="G289" s="1" t="s">
        <v>46</v>
      </c>
      <c r="H289" s="1" t="s">
        <v>63</v>
      </c>
      <c r="I289" s="1" t="s">
        <v>97</v>
      </c>
      <c r="J289" s="1" t="s">
        <v>43</v>
      </c>
    </row>
    <row r="290">
      <c r="A290" s="3">
        <v>89603.0</v>
      </c>
      <c r="B290" s="1" t="s">
        <v>1398</v>
      </c>
      <c r="C290" s="4">
        <v>46128.70689814815</v>
      </c>
      <c r="D290" s="1" t="s">
        <v>694</v>
      </c>
      <c r="E290" s="1" t="s">
        <v>1399</v>
      </c>
      <c r="F290" s="3">
        <v>9.049989926E9</v>
      </c>
      <c r="G290" s="1" t="s">
        <v>46</v>
      </c>
      <c r="H290" s="1" t="s">
        <v>63</v>
      </c>
      <c r="I290" s="1" t="s">
        <v>97</v>
      </c>
      <c r="J290" s="1" t="s">
        <v>43</v>
      </c>
    </row>
    <row r="291">
      <c r="A291" s="3">
        <v>89604.0</v>
      </c>
      <c r="B291" s="1" t="s">
        <v>1400</v>
      </c>
      <c r="C291" s="4">
        <v>46128.731412037036</v>
      </c>
      <c r="D291" s="1" t="s">
        <v>694</v>
      </c>
      <c r="E291" s="1" t="s">
        <v>1401</v>
      </c>
      <c r="F291" s="3">
        <v>7.52901393E9</v>
      </c>
      <c r="G291" s="1" t="s">
        <v>46</v>
      </c>
      <c r="H291" s="1" t="s">
        <v>53</v>
      </c>
      <c r="I291" s="1" t="s">
        <v>367</v>
      </c>
      <c r="J291" s="1" t="s">
        <v>43</v>
      </c>
    </row>
    <row r="292">
      <c r="A292" s="3">
        <v>89605.0</v>
      </c>
      <c r="B292" s="1" t="s">
        <v>1402</v>
      </c>
      <c r="C292" s="4">
        <v>46128.75608796296</v>
      </c>
      <c r="D292" s="1" t="s">
        <v>694</v>
      </c>
      <c r="E292" s="1" t="s">
        <v>1403</v>
      </c>
      <c r="F292" s="3">
        <v>7.986367984E9</v>
      </c>
      <c r="G292" s="1" t="s">
        <v>46</v>
      </c>
      <c r="H292" s="1" t="s">
        <v>45</v>
      </c>
      <c r="I292" s="1" t="s">
        <v>1404</v>
      </c>
      <c r="J292" s="1" t="s">
        <v>43</v>
      </c>
    </row>
    <row r="293">
      <c r="A293" s="3">
        <v>89606.0</v>
      </c>
      <c r="B293" s="1" t="s">
        <v>1405</v>
      </c>
      <c r="C293" s="4">
        <v>46128.77900462963</v>
      </c>
      <c r="D293" s="1" t="s">
        <v>694</v>
      </c>
      <c r="E293" s="1" t="s">
        <v>1406</v>
      </c>
      <c r="F293" s="3">
        <v>7.009233922E9</v>
      </c>
      <c r="G293" s="1" t="s">
        <v>46</v>
      </c>
      <c r="H293" s="1" t="s">
        <v>45</v>
      </c>
      <c r="I293" s="1" t="s">
        <v>1407</v>
      </c>
      <c r="J293" s="1" t="s">
        <v>43</v>
      </c>
    </row>
    <row r="294">
      <c r="A294" s="3">
        <v>89607.0</v>
      </c>
      <c r="B294" s="1" t="s">
        <v>1408</v>
      </c>
      <c r="C294" s="4">
        <v>46128.81215277778</v>
      </c>
      <c r="D294" s="1" t="s">
        <v>694</v>
      </c>
      <c r="E294" s="1" t="s">
        <v>1409</v>
      </c>
      <c r="F294" s="3">
        <v>9.717731845E9</v>
      </c>
      <c r="G294" s="1" t="s">
        <v>46</v>
      </c>
      <c r="H294" s="1" t="s">
        <v>152</v>
      </c>
      <c r="I294" s="1" t="s">
        <v>151</v>
      </c>
      <c r="J294" s="1" t="s">
        <v>43</v>
      </c>
    </row>
    <row r="295">
      <c r="A295" s="3">
        <v>89608.0</v>
      </c>
      <c r="B295" s="1" t="s">
        <v>1410</v>
      </c>
      <c r="C295" s="4">
        <v>46128.824421296296</v>
      </c>
      <c r="D295" s="1" t="s">
        <v>694</v>
      </c>
      <c r="E295" s="1" t="s">
        <v>1411</v>
      </c>
      <c r="F295" s="3">
        <v>8.851401009E9</v>
      </c>
      <c r="G295" s="1" t="s">
        <v>46</v>
      </c>
      <c r="H295" s="1" t="s">
        <v>241</v>
      </c>
      <c r="I295" s="1" t="s">
        <v>241</v>
      </c>
      <c r="J295" s="1" t="s">
        <v>43</v>
      </c>
    </row>
    <row r="296">
      <c r="A296" s="3">
        <v>89609.0</v>
      </c>
      <c r="B296" s="1" t="s">
        <v>1412</v>
      </c>
      <c r="C296" s="4">
        <v>46128.83112268519</v>
      </c>
      <c r="D296" s="1" t="s">
        <v>694</v>
      </c>
      <c r="E296" s="1" t="s">
        <v>1413</v>
      </c>
      <c r="F296" s="3">
        <v>9.304787675E9</v>
      </c>
      <c r="G296" s="1" t="s">
        <v>46</v>
      </c>
      <c r="H296" s="1" t="s">
        <v>498</v>
      </c>
      <c r="I296" s="1" t="s">
        <v>1414</v>
      </c>
      <c r="J296" s="1" t="s">
        <v>43</v>
      </c>
    </row>
    <row r="297">
      <c r="A297" s="3">
        <v>89610.0</v>
      </c>
      <c r="B297" s="1" t="s">
        <v>240</v>
      </c>
      <c r="C297" s="4">
        <v>46128.83392361111</v>
      </c>
      <c r="D297" s="1" t="s">
        <v>694</v>
      </c>
      <c r="E297" s="1" t="s">
        <v>242</v>
      </c>
      <c r="F297" s="3">
        <v>8.178167994E9</v>
      </c>
      <c r="G297" s="1" t="s">
        <v>46</v>
      </c>
      <c r="H297" s="1" t="s">
        <v>241</v>
      </c>
      <c r="I297" s="1" t="s">
        <v>241</v>
      </c>
      <c r="J297" s="1" t="s">
        <v>43</v>
      </c>
    </row>
    <row r="298">
      <c r="A298" s="3">
        <v>89611.0</v>
      </c>
      <c r="B298" s="1" t="s">
        <v>288</v>
      </c>
      <c r="C298" s="4">
        <v>46128.88277777778</v>
      </c>
      <c r="D298" s="1" t="s">
        <v>694</v>
      </c>
      <c r="E298" s="1" t="s">
        <v>289</v>
      </c>
      <c r="F298" s="7" t="str">
        <f>+91 90013 58401</f>
        <v>#ERROR!</v>
      </c>
      <c r="G298" s="1" t="s">
        <v>46</v>
      </c>
      <c r="H298" s="1" t="s">
        <v>285</v>
      </c>
      <c r="I298" s="1" t="s">
        <v>284</v>
      </c>
      <c r="J298" s="1" t="s">
        <v>43</v>
      </c>
    </row>
    <row r="299">
      <c r="A299" s="3">
        <v>89612.0</v>
      </c>
      <c r="B299" s="1" t="s">
        <v>1415</v>
      </c>
      <c r="C299" s="4">
        <v>46128.888032407405</v>
      </c>
      <c r="D299" s="1" t="s">
        <v>690</v>
      </c>
      <c r="E299" s="1" t="s">
        <v>1416</v>
      </c>
      <c r="F299" s="3">
        <v>6.395907074E9</v>
      </c>
      <c r="G299" s="1" t="s">
        <v>46</v>
      </c>
      <c r="H299" s="1" t="s">
        <v>53</v>
      </c>
      <c r="I299" s="1" t="s">
        <v>1417</v>
      </c>
      <c r="J299" s="1" t="s">
        <v>43</v>
      </c>
    </row>
    <row r="300">
      <c r="A300" s="3">
        <v>89613.0</v>
      </c>
      <c r="B300" s="1" t="s">
        <v>1418</v>
      </c>
      <c r="C300" s="4">
        <v>46128.94325231481</v>
      </c>
      <c r="D300" s="1" t="s">
        <v>690</v>
      </c>
      <c r="E300" s="1" t="s">
        <v>1419</v>
      </c>
      <c r="F300" s="3">
        <v>9.3730967E9</v>
      </c>
      <c r="G300" s="1" t="s">
        <v>46</v>
      </c>
      <c r="H300" s="1" t="s">
        <v>63</v>
      </c>
      <c r="I300" s="1" t="s">
        <v>97</v>
      </c>
      <c r="J300" s="1" t="s">
        <v>43</v>
      </c>
    </row>
    <row r="301">
      <c r="A301" s="3">
        <v>89614.0</v>
      </c>
      <c r="B301" s="1" t="s">
        <v>1420</v>
      </c>
      <c r="C301" s="4">
        <v>46128.9852662037</v>
      </c>
      <c r="D301" s="1" t="s">
        <v>694</v>
      </c>
      <c r="E301" s="1" t="s">
        <v>1421</v>
      </c>
      <c r="F301" s="3">
        <v>8.264562674E9</v>
      </c>
      <c r="G301" s="1" t="s">
        <v>46</v>
      </c>
      <c r="H301" s="1" t="s">
        <v>45</v>
      </c>
      <c r="I301" s="1" t="s">
        <v>1422</v>
      </c>
      <c r="J301" s="7"/>
      <c r="K301" s="7"/>
    </row>
    <row r="302">
      <c r="A302" s="3">
        <v>89615.0</v>
      </c>
      <c r="B302" s="1" t="s">
        <v>1423</v>
      </c>
      <c r="C302" s="4">
        <v>46128.987222222226</v>
      </c>
      <c r="D302" s="1" t="s">
        <v>690</v>
      </c>
      <c r="E302" s="1" t="s">
        <v>1424</v>
      </c>
      <c r="F302" s="3">
        <v>9.279855667E9</v>
      </c>
      <c r="G302" s="1" t="s">
        <v>46</v>
      </c>
      <c r="H302" s="1" t="s">
        <v>140</v>
      </c>
      <c r="I302" s="1" t="s">
        <v>1425</v>
      </c>
      <c r="J302" s="1" t="s">
        <v>43</v>
      </c>
    </row>
    <row r="303">
      <c r="A303" s="3">
        <v>89616.0</v>
      </c>
      <c r="B303" s="1" t="s">
        <v>1426</v>
      </c>
      <c r="C303" s="4">
        <v>46129.03878472222</v>
      </c>
      <c r="D303" s="1" t="s">
        <v>690</v>
      </c>
      <c r="E303" s="1" t="s">
        <v>1427</v>
      </c>
      <c r="F303" s="3">
        <v>9.112245552E9</v>
      </c>
      <c r="G303" s="1" t="s">
        <v>46</v>
      </c>
      <c r="H303" s="1" t="s">
        <v>63</v>
      </c>
      <c r="I303" s="1" t="s">
        <v>1428</v>
      </c>
      <c r="J303" s="1" t="s">
        <v>43</v>
      </c>
    </row>
    <row r="304">
      <c r="A304" s="3">
        <v>89617.0</v>
      </c>
      <c r="B304" s="1" t="s">
        <v>1429</v>
      </c>
      <c r="C304" s="4">
        <v>46129.290972222225</v>
      </c>
      <c r="D304" s="1" t="s">
        <v>690</v>
      </c>
      <c r="E304" s="1" t="s">
        <v>1430</v>
      </c>
      <c r="F304" s="3">
        <v>9.893125919E9</v>
      </c>
      <c r="G304" s="1" t="s">
        <v>46</v>
      </c>
      <c r="H304" s="1" t="s">
        <v>203</v>
      </c>
      <c r="I304" s="1" t="s">
        <v>1431</v>
      </c>
      <c r="J304" s="1" t="s">
        <v>43</v>
      </c>
    </row>
    <row r="305">
      <c r="A305" s="3">
        <v>89618.0</v>
      </c>
      <c r="B305" s="1" t="s">
        <v>1432</v>
      </c>
      <c r="C305" s="4">
        <v>46129.46034722222</v>
      </c>
      <c r="D305" s="1" t="s">
        <v>690</v>
      </c>
      <c r="E305" s="1" t="s">
        <v>1433</v>
      </c>
      <c r="F305" s="3">
        <v>8.433495842E9</v>
      </c>
      <c r="G305" s="1" t="s">
        <v>46</v>
      </c>
      <c r="H305" s="1" t="s">
        <v>241</v>
      </c>
      <c r="I305" s="1" t="s">
        <v>275</v>
      </c>
      <c r="J305" s="1" t="s">
        <v>43</v>
      </c>
    </row>
    <row r="306">
      <c r="A306" s="3">
        <v>89619.0</v>
      </c>
      <c r="B306" s="1" t="s">
        <v>1434</v>
      </c>
      <c r="C306" s="4">
        <v>46129.521215277775</v>
      </c>
      <c r="D306" s="1" t="s">
        <v>694</v>
      </c>
      <c r="E306" s="1" t="s">
        <v>1435</v>
      </c>
      <c r="F306" s="3">
        <v>9.81993899E9</v>
      </c>
      <c r="G306" s="1" t="s">
        <v>46</v>
      </c>
      <c r="H306" s="1" t="s">
        <v>63</v>
      </c>
      <c r="I306" s="1" t="s">
        <v>85</v>
      </c>
      <c r="J306" s="1" t="s">
        <v>43</v>
      </c>
    </row>
    <row r="307">
      <c r="A307" s="3">
        <v>89620.0</v>
      </c>
      <c r="B307" s="1" t="s">
        <v>1436</v>
      </c>
      <c r="C307" s="4">
        <v>46129.58262731481</v>
      </c>
      <c r="D307" s="1" t="s">
        <v>694</v>
      </c>
      <c r="E307" s="1" t="s">
        <v>1437</v>
      </c>
      <c r="F307" s="3">
        <v>8.627890944E9</v>
      </c>
      <c r="G307" s="1" t="s">
        <v>46</v>
      </c>
      <c r="H307" s="1" t="s">
        <v>561</v>
      </c>
      <c r="I307" s="1" t="s">
        <v>1438</v>
      </c>
      <c r="J307" s="1" t="s">
        <v>43</v>
      </c>
    </row>
    <row r="308">
      <c r="A308" s="3">
        <v>89621.0</v>
      </c>
      <c r="B308" s="1" t="s">
        <v>1439</v>
      </c>
      <c r="C308" s="4">
        <v>46129.589594907404</v>
      </c>
      <c r="D308" s="1" t="s">
        <v>694</v>
      </c>
      <c r="E308" s="1" t="s">
        <v>1440</v>
      </c>
      <c r="F308" s="3">
        <v>9.822826086E9</v>
      </c>
      <c r="G308" s="1" t="s">
        <v>46</v>
      </c>
      <c r="H308" s="1" t="s">
        <v>63</v>
      </c>
      <c r="I308" s="1" t="s">
        <v>1285</v>
      </c>
      <c r="J308" s="1" t="s">
        <v>43</v>
      </c>
    </row>
    <row r="309">
      <c r="A309" s="3">
        <v>89622.0</v>
      </c>
      <c r="B309" s="1" t="s">
        <v>1441</v>
      </c>
      <c r="C309" s="4">
        <v>46129.6003125</v>
      </c>
      <c r="D309" s="1" t="s">
        <v>694</v>
      </c>
      <c r="E309" s="1" t="s">
        <v>1442</v>
      </c>
      <c r="F309" s="3">
        <v>7.022378227E9</v>
      </c>
      <c r="G309" s="1" t="s">
        <v>46</v>
      </c>
      <c r="H309" s="1" t="s">
        <v>104</v>
      </c>
      <c r="I309" s="1" t="s">
        <v>103</v>
      </c>
      <c r="J309" s="1" t="s">
        <v>43</v>
      </c>
    </row>
    <row r="310">
      <c r="A310" s="3">
        <v>89623.0</v>
      </c>
      <c r="B310" s="1" t="s">
        <v>1443</v>
      </c>
      <c r="C310" s="4">
        <v>46129.60513888889</v>
      </c>
      <c r="D310" s="1" t="s">
        <v>694</v>
      </c>
      <c r="E310" s="1" t="s">
        <v>1444</v>
      </c>
      <c r="F310" s="3">
        <v>9.90310472E9</v>
      </c>
      <c r="G310" s="1" t="s">
        <v>46</v>
      </c>
      <c r="H310" s="1" t="s">
        <v>235</v>
      </c>
      <c r="I310" s="1" t="s">
        <v>234</v>
      </c>
      <c r="J310" s="1" t="s">
        <v>43</v>
      </c>
    </row>
    <row r="311">
      <c r="A311" s="3">
        <v>89624.0</v>
      </c>
      <c r="B311" s="1" t="s">
        <v>1445</v>
      </c>
      <c r="C311" s="4">
        <v>46129.67020833334</v>
      </c>
      <c r="D311" s="1" t="s">
        <v>694</v>
      </c>
      <c r="E311" s="1" t="s">
        <v>1446</v>
      </c>
      <c r="F311" s="3">
        <v>8.136929714E9</v>
      </c>
      <c r="G311" s="1" t="s">
        <v>46</v>
      </c>
      <c r="H311" s="1" t="s">
        <v>118</v>
      </c>
      <c r="I311" s="1" t="s">
        <v>473</v>
      </c>
      <c r="J311" s="1" t="s">
        <v>43</v>
      </c>
    </row>
    <row r="312">
      <c r="A312" s="3">
        <v>89625.0</v>
      </c>
      <c r="B312" s="1" t="s">
        <v>1447</v>
      </c>
      <c r="C312" s="4">
        <v>46129.80332175926</v>
      </c>
      <c r="D312" s="1" t="s">
        <v>694</v>
      </c>
      <c r="E312" s="1" t="s">
        <v>1448</v>
      </c>
      <c r="F312" s="3">
        <v>8.810211912E9</v>
      </c>
      <c r="G312" s="1" t="s">
        <v>46</v>
      </c>
      <c r="H312" s="1" t="s">
        <v>241</v>
      </c>
      <c r="I312" s="1" t="s">
        <v>275</v>
      </c>
      <c r="J312" s="1" t="s">
        <v>43</v>
      </c>
    </row>
    <row r="313">
      <c r="A313" s="3">
        <v>89626.0</v>
      </c>
      <c r="B313" s="1" t="s">
        <v>1449</v>
      </c>
      <c r="C313" s="4">
        <v>46129.835960648146</v>
      </c>
      <c r="D313" s="1" t="s">
        <v>694</v>
      </c>
      <c r="E313" s="1" t="s">
        <v>1450</v>
      </c>
      <c r="F313" s="3">
        <v>8.767585091E9</v>
      </c>
      <c r="G313" s="1" t="s">
        <v>46</v>
      </c>
      <c r="H313" s="1" t="s">
        <v>63</v>
      </c>
      <c r="I313" s="1" t="s">
        <v>1428</v>
      </c>
      <c r="J313" s="1" t="s">
        <v>43</v>
      </c>
    </row>
    <row r="314">
      <c r="A314" s="3">
        <v>89627.0</v>
      </c>
      <c r="B314" s="1" t="s">
        <v>1451</v>
      </c>
      <c r="C314" s="4">
        <v>46129.84332175926</v>
      </c>
      <c r="D314" s="1" t="s">
        <v>694</v>
      </c>
      <c r="E314" s="1" t="s">
        <v>1452</v>
      </c>
      <c r="F314" s="3">
        <v>7.019846672E9</v>
      </c>
      <c r="G314" s="1" t="s">
        <v>46</v>
      </c>
      <c r="H314" s="1" t="s">
        <v>152</v>
      </c>
      <c r="I314" s="1" t="s">
        <v>151</v>
      </c>
      <c r="J314" s="1" t="s">
        <v>43</v>
      </c>
    </row>
    <row r="315">
      <c r="A315" s="3">
        <v>89628.0</v>
      </c>
      <c r="B315" s="1" t="s">
        <v>1453</v>
      </c>
      <c r="C315" s="4">
        <v>46129.848032407404</v>
      </c>
      <c r="D315" s="1" t="s">
        <v>694</v>
      </c>
      <c r="E315" s="1" t="s">
        <v>1454</v>
      </c>
      <c r="F315" s="3">
        <v>9.205022432E9</v>
      </c>
      <c r="G315" s="1" t="s">
        <v>46</v>
      </c>
      <c r="H315" s="1" t="s">
        <v>53</v>
      </c>
      <c r="I315" s="1" t="s">
        <v>367</v>
      </c>
      <c r="J315" s="1" t="s">
        <v>43</v>
      </c>
    </row>
    <row r="316">
      <c r="A316" s="3">
        <v>89629.0</v>
      </c>
      <c r="B316" s="1" t="s">
        <v>1455</v>
      </c>
      <c r="C316" s="4">
        <v>46129.88716435185</v>
      </c>
      <c r="D316" s="1" t="s">
        <v>694</v>
      </c>
      <c r="E316" s="1" t="s">
        <v>1456</v>
      </c>
      <c r="F316" s="3">
        <v>8.676929516E9</v>
      </c>
      <c r="G316" s="1" t="s">
        <v>46</v>
      </c>
      <c r="H316" s="1" t="s">
        <v>498</v>
      </c>
      <c r="I316" s="1" t="s">
        <v>1250</v>
      </c>
      <c r="J316" s="1" t="s">
        <v>43</v>
      </c>
    </row>
    <row r="317">
      <c r="A317" s="3">
        <v>89630.0</v>
      </c>
      <c r="B317" s="1" t="s">
        <v>1457</v>
      </c>
      <c r="C317" s="4">
        <v>46129.919328703705</v>
      </c>
      <c r="D317" s="1" t="s">
        <v>694</v>
      </c>
      <c r="E317" s="1" t="s">
        <v>1458</v>
      </c>
      <c r="F317" s="3">
        <v>7.070862851E9</v>
      </c>
      <c r="G317" s="1" t="s">
        <v>46</v>
      </c>
      <c r="H317" s="1" t="s">
        <v>241</v>
      </c>
      <c r="I317" s="1" t="s">
        <v>275</v>
      </c>
      <c r="J317" s="1" t="s">
        <v>43</v>
      </c>
    </row>
    <row r="318">
      <c r="A318" s="3">
        <v>89631.0</v>
      </c>
      <c r="B318" s="1" t="s">
        <v>150</v>
      </c>
      <c r="C318" s="4">
        <v>46129.94668981482</v>
      </c>
      <c r="D318" s="1" t="s">
        <v>690</v>
      </c>
      <c r="E318" s="1" t="s">
        <v>154</v>
      </c>
      <c r="F318" s="3">
        <v>7.991188158E9</v>
      </c>
      <c r="G318" s="1" t="s">
        <v>46</v>
      </c>
      <c r="H318" s="1" t="s">
        <v>152</v>
      </c>
      <c r="I318" s="1" t="s">
        <v>151</v>
      </c>
      <c r="J318" s="1" t="s">
        <v>43</v>
      </c>
    </row>
    <row r="319">
      <c r="A319" s="3">
        <v>89632.0</v>
      </c>
      <c r="B319" s="1" t="s">
        <v>1459</v>
      </c>
      <c r="C319" s="4">
        <v>46129.95704861111</v>
      </c>
      <c r="D319" s="1" t="s">
        <v>694</v>
      </c>
      <c r="E319" s="1" t="s">
        <v>1460</v>
      </c>
      <c r="F319" s="3">
        <v>9.482443272E9</v>
      </c>
      <c r="G319" s="1" t="s">
        <v>46</v>
      </c>
      <c r="H319" s="1" t="s">
        <v>152</v>
      </c>
      <c r="I319" s="1" t="s">
        <v>1461</v>
      </c>
      <c r="J319" s="1" t="s">
        <v>43</v>
      </c>
    </row>
    <row r="320">
      <c r="A320" s="3">
        <v>89633.0</v>
      </c>
      <c r="B320" s="1" t="s">
        <v>1462</v>
      </c>
      <c r="C320" s="4">
        <v>46130.04133101852</v>
      </c>
      <c r="D320" s="1" t="s">
        <v>694</v>
      </c>
      <c r="E320" s="1" t="s">
        <v>1463</v>
      </c>
      <c r="F320" s="3">
        <v>7.478022204E9</v>
      </c>
      <c r="G320" s="1" t="s">
        <v>46</v>
      </c>
      <c r="H320" s="1" t="s">
        <v>53</v>
      </c>
      <c r="I320" s="1" t="s">
        <v>381</v>
      </c>
      <c r="J320" s="1" t="s">
        <v>43</v>
      </c>
    </row>
    <row r="321">
      <c r="A321" s="3">
        <v>89634.0</v>
      </c>
      <c r="B321" s="1" t="s">
        <v>1464</v>
      </c>
      <c r="C321" s="4">
        <v>46130.09150462963</v>
      </c>
      <c r="D321" s="1" t="s">
        <v>690</v>
      </c>
      <c r="E321" s="1" t="s">
        <v>1465</v>
      </c>
      <c r="F321" s="3">
        <v>9.335094221E9</v>
      </c>
      <c r="G321" s="1" t="s">
        <v>46</v>
      </c>
      <c r="H321" s="1" t="s">
        <v>53</v>
      </c>
      <c r="I321" s="1" t="s">
        <v>1057</v>
      </c>
      <c r="J321" s="1" t="s">
        <v>43</v>
      </c>
    </row>
    <row r="322">
      <c r="A322" s="3">
        <v>89635.0</v>
      </c>
      <c r="B322" s="1" t="s">
        <v>1466</v>
      </c>
      <c r="C322" s="4">
        <v>46130.216944444444</v>
      </c>
      <c r="D322" s="1" t="s">
        <v>694</v>
      </c>
      <c r="E322" s="1" t="s">
        <v>1467</v>
      </c>
      <c r="F322" s="3">
        <v>3.03810765E9</v>
      </c>
      <c r="G322" s="1" t="s">
        <v>294</v>
      </c>
      <c r="H322" s="1" t="s">
        <v>1468</v>
      </c>
      <c r="I322" s="1" t="s">
        <v>1469</v>
      </c>
      <c r="J322" s="1" t="s">
        <v>43</v>
      </c>
    </row>
    <row r="323">
      <c r="A323" s="3">
        <v>89636.0</v>
      </c>
      <c r="B323" s="1" t="s">
        <v>1470</v>
      </c>
      <c r="C323" s="4">
        <v>46130.39655092593</v>
      </c>
      <c r="D323" s="1" t="s">
        <v>694</v>
      </c>
      <c r="E323" s="1" t="s">
        <v>1471</v>
      </c>
      <c r="F323" s="10">
        <v>1.2485E10</v>
      </c>
      <c r="G323" s="1" t="s">
        <v>294</v>
      </c>
      <c r="H323" s="1" t="s">
        <v>1121</v>
      </c>
      <c r="I323" s="1" t="s">
        <v>1472</v>
      </c>
      <c r="J323" s="1" t="s">
        <v>43</v>
      </c>
    </row>
    <row r="324">
      <c r="A324" s="3">
        <v>89637.0</v>
      </c>
      <c r="B324" s="1" t="s">
        <v>1473</v>
      </c>
      <c r="C324" s="4">
        <v>46130.42369212963</v>
      </c>
      <c r="D324" s="1" t="s">
        <v>694</v>
      </c>
      <c r="E324" s="1" t="s">
        <v>1474</v>
      </c>
      <c r="F324" s="3">
        <v>8.431255404E9</v>
      </c>
      <c r="G324" s="1" t="s">
        <v>842</v>
      </c>
      <c r="H324" s="1" t="s">
        <v>843</v>
      </c>
      <c r="I324" s="1" t="s">
        <v>844</v>
      </c>
      <c r="J324" s="1" t="s">
        <v>43</v>
      </c>
    </row>
    <row r="325">
      <c r="A325" s="3">
        <v>89638.0</v>
      </c>
      <c r="B325" s="1" t="s">
        <v>1475</v>
      </c>
      <c r="C325" s="4">
        <v>46130.54715277778</v>
      </c>
      <c r="D325" s="1" t="s">
        <v>690</v>
      </c>
      <c r="E325" s="1" t="s">
        <v>1476</v>
      </c>
      <c r="F325" s="3">
        <v>6.305220854E9</v>
      </c>
      <c r="G325" s="1" t="s">
        <v>46</v>
      </c>
      <c r="H325" s="1" t="s">
        <v>104</v>
      </c>
      <c r="I325" s="1" t="s">
        <v>103</v>
      </c>
      <c r="J325" s="1" t="s">
        <v>43</v>
      </c>
    </row>
    <row r="326">
      <c r="A326" s="3">
        <v>89639.0</v>
      </c>
      <c r="B326" s="1" t="s">
        <v>1477</v>
      </c>
      <c r="C326" s="4">
        <v>46130.61835648148</v>
      </c>
      <c r="D326" s="1" t="s">
        <v>694</v>
      </c>
      <c r="E326" s="1" t="s">
        <v>1478</v>
      </c>
      <c r="F326" s="3">
        <v>8.894703521E9</v>
      </c>
      <c r="G326" s="1" t="s">
        <v>46</v>
      </c>
      <c r="H326" s="1" t="s">
        <v>561</v>
      </c>
      <c r="I326" s="1" t="s">
        <v>1479</v>
      </c>
      <c r="J326" s="1" t="s">
        <v>43</v>
      </c>
    </row>
    <row r="327">
      <c r="A327" s="3">
        <v>89640.0</v>
      </c>
      <c r="B327" s="1" t="s">
        <v>1480</v>
      </c>
      <c r="C327" s="4">
        <v>46130.63694444444</v>
      </c>
      <c r="D327" s="1" t="s">
        <v>694</v>
      </c>
      <c r="E327" s="1" t="s">
        <v>1481</v>
      </c>
      <c r="F327" s="3">
        <v>9.594888872E9</v>
      </c>
      <c r="G327" s="1" t="s">
        <v>46</v>
      </c>
      <c r="H327" s="1" t="s">
        <v>63</v>
      </c>
      <c r="I327" s="1" t="s">
        <v>85</v>
      </c>
      <c r="J327" s="1" t="s">
        <v>43</v>
      </c>
    </row>
    <row r="328">
      <c r="A328" s="3">
        <v>89641.0</v>
      </c>
      <c r="B328" s="1" t="s">
        <v>1482</v>
      </c>
      <c r="C328" s="4">
        <v>46130.64976851852</v>
      </c>
      <c r="D328" s="1" t="s">
        <v>690</v>
      </c>
      <c r="E328" s="1" t="s">
        <v>1483</v>
      </c>
      <c r="F328" s="3">
        <v>9.424766159E9</v>
      </c>
      <c r="G328" s="1" t="s">
        <v>46</v>
      </c>
      <c r="H328" s="1" t="s">
        <v>203</v>
      </c>
      <c r="I328" s="1" t="s">
        <v>407</v>
      </c>
      <c r="J328" s="1" t="s">
        <v>43</v>
      </c>
    </row>
    <row r="329">
      <c r="A329" s="3">
        <v>89642.0</v>
      </c>
      <c r="B329" s="1" t="s">
        <v>1484</v>
      </c>
      <c r="C329" s="4">
        <v>46130.672789351855</v>
      </c>
      <c r="D329" s="1" t="s">
        <v>694</v>
      </c>
      <c r="E329" s="1" t="s">
        <v>1485</v>
      </c>
      <c r="F329" s="3">
        <v>9.81840653E9</v>
      </c>
      <c r="G329" s="1" t="s">
        <v>46</v>
      </c>
      <c r="H329" s="1" t="s">
        <v>63</v>
      </c>
      <c r="I329" s="1" t="s">
        <v>85</v>
      </c>
      <c r="J329" s="1" t="s">
        <v>43</v>
      </c>
    </row>
    <row r="330">
      <c r="A330" s="3">
        <v>89643.0</v>
      </c>
      <c r="B330" s="1" t="s">
        <v>1486</v>
      </c>
      <c r="C330" s="4">
        <v>46130.681909722225</v>
      </c>
      <c r="D330" s="1" t="s">
        <v>694</v>
      </c>
      <c r="E330" s="1" t="s">
        <v>1487</v>
      </c>
      <c r="F330" s="3">
        <v>7.060453777E9</v>
      </c>
      <c r="G330" s="1" t="s">
        <v>46</v>
      </c>
      <c r="H330" s="1" t="s">
        <v>53</v>
      </c>
      <c r="I330" s="1" t="s">
        <v>568</v>
      </c>
      <c r="J330" s="1" t="s">
        <v>43</v>
      </c>
    </row>
    <row r="331">
      <c r="A331" s="3">
        <v>89644.0</v>
      </c>
      <c r="B331" s="1" t="s">
        <v>1488</v>
      </c>
      <c r="C331" s="4">
        <v>46130.77988425926</v>
      </c>
      <c r="D331" s="1" t="s">
        <v>690</v>
      </c>
      <c r="E331" s="1" t="s">
        <v>1489</v>
      </c>
      <c r="F331" s="3">
        <v>9.957410067E9</v>
      </c>
      <c r="G331" s="1" t="s">
        <v>46</v>
      </c>
      <c r="H331" s="1" t="s">
        <v>715</v>
      </c>
      <c r="I331" s="1" t="s">
        <v>1490</v>
      </c>
      <c r="J331" s="1" t="s">
        <v>43</v>
      </c>
    </row>
    <row r="332">
      <c r="A332" s="3">
        <v>89645.0</v>
      </c>
      <c r="B332" s="1" t="s">
        <v>1491</v>
      </c>
      <c r="C332" s="4">
        <v>46130.83212962963</v>
      </c>
      <c r="D332" s="1" t="s">
        <v>694</v>
      </c>
      <c r="E332" s="1" t="s">
        <v>1492</v>
      </c>
      <c r="F332" s="3">
        <v>9.873950392E9</v>
      </c>
      <c r="G332" s="1" t="s">
        <v>46</v>
      </c>
      <c r="H332" s="1" t="s">
        <v>241</v>
      </c>
      <c r="I332" s="1" t="s">
        <v>275</v>
      </c>
      <c r="J332" s="1" t="s">
        <v>43</v>
      </c>
    </row>
    <row r="333">
      <c r="A333" s="3">
        <v>89646.0</v>
      </c>
      <c r="B333" s="1" t="s">
        <v>1493</v>
      </c>
      <c r="C333" s="4">
        <v>46130.839780092596</v>
      </c>
      <c r="D333" s="1" t="s">
        <v>694</v>
      </c>
      <c r="E333" s="1" t="s">
        <v>1494</v>
      </c>
      <c r="F333" s="3">
        <v>9.325371495E9</v>
      </c>
      <c r="G333" s="1" t="s">
        <v>46</v>
      </c>
      <c r="H333" s="1" t="s">
        <v>63</v>
      </c>
      <c r="I333" s="1" t="s">
        <v>1495</v>
      </c>
      <c r="J333" s="1" t="s">
        <v>43</v>
      </c>
    </row>
    <row r="334">
      <c r="A334" s="3">
        <v>89647.0</v>
      </c>
      <c r="B334" s="1" t="s">
        <v>1496</v>
      </c>
      <c r="C334" s="4">
        <v>46130.90164351852</v>
      </c>
      <c r="D334" s="1" t="s">
        <v>690</v>
      </c>
      <c r="E334" s="1" t="s">
        <v>1497</v>
      </c>
      <c r="F334" s="3">
        <v>9.998702345E9</v>
      </c>
      <c r="G334" s="1" t="s">
        <v>46</v>
      </c>
      <c r="H334" s="1" t="s">
        <v>198</v>
      </c>
      <c r="I334" s="1" t="s">
        <v>868</v>
      </c>
      <c r="J334" s="7"/>
      <c r="K334" s="7"/>
    </row>
    <row r="335">
      <c r="A335" s="3">
        <v>89648.0</v>
      </c>
      <c r="B335" s="1" t="s">
        <v>1498</v>
      </c>
      <c r="C335" s="4">
        <v>46130.919895833336</v>
      </c>
      <c r="D335" s="1" t="s">
        <v>694</v>
      </c>
      <c r="E335" s="1" t="s">
        <v>1499</v>
      </c>
      <c r="F335" s="3">
        <v>8.766895095E9</v>
      </c>
      <c r="G335" s="1" t="s">
        <v>46</v>
      </c>
      <c r="H335" s="1" t="s">
        <v>63</v>
      </c>
      <c r="I335" s="1" t="s">
        <v>1500</v>
      </c>
      <c r="J335" s="1" t="s">
        <v>43</v>
      </c>
    </row>
    <row r="336">
      <c r="A336" s="3">
        <v>89649.0</v>
      </c>
      <c r="B336" s="1" t="s">
        <v>1501</v>
      </c>
      <c r="C336" s="4">
        <v>46130.928923611114</v>
      </c>
      <c r="D336" s="1" t="s">
        <v>694</v>
      </c>
      <c r="E336" s="1" t="s">
        <v>1502</v>
      </c>
      <c r="F336" s="10">
        <v>9.1933E11</v>
      </c>
      <c r="G336" s="1" t="s">
        <v>46</v>
      </c>
      <c r="H336" s="1" t="s">
        <v>203</v>
      </c>
      <c r="I336" s="1" t="s">
        <v>1503</v>
      </c>
      <c r="J336" s="1" t="s">
        <v>43</v>
      </c>
    </row>
    <row r="337">
      <c r="A337" s="3">
        <v>89650.0</v>
      </c>
      <c r="B337" s="1" t="s">
        <v>1504</v>
      </c>
      <c r="C337" s="4">
        <v>46130.94972222222</v>
      </c>
      <c r="D337" s="1" t="s">
        <v>694</v>
      </c>
      <c r="E337" s="1" t="s">
        <v>1505</v>
      </c>
      <c r="F337" s="3">
        <v>8.197072673E9</v>
      </c>
      <c r="G337" s="1" t="s">
        <v>46</v>
      </c>
      <c r="H337" s="1" t="s">
        <v>152</v>
      </c>
      <c r="I337" s="1" t="s">
        <v>1506</v>
      </c>
      <c r="J337" s="1" t="s">
        <v>43</v>
      </c>
    </row>
    <row r="338">
      <c r="A338" s="3">
        <v>89651.0</v>
      </c>
      <c r="B338" s="1" t="s">
        <v>1507</v>
      </c>
      <c r="C338" s="4">
        <v>46131.03424768519</v>
      </c>
      <c r="D338" s="1" t="s">
        <v>690</v>
      </c>
      <c r="E338" s="1" t="s">
        <v>1508</v>
      </c>
      <c r="F338" s="3">
        <v>9.416057525E9</v>
      </c>
      <c r="G338" s="1" t="s">
        <v>46</v>
      </c>
      <c r="H338" s="1" t="s">
        <v>124</v>
      </c>
      <c r="I338" s="1" t="s">
        <v>1509</v>
      </c>
      <c r="J338" s="1" t="s">
        <v>43</v>
      </c>
    </row>
    <row r="339">
      <c r="A339" s="3">
        <v>89652.0</v>
      </c>
      <c r="B339" s="1" t="s">
        <v>1510</v>
      </c>
      <c r="C339" s="4">
        <v>46131.21734953704</v>
      </c>
      <c r="D339" s="1" t="s">
        <v>690</v>
      </c>
      <c r="E339" s="1" t="s">
        <v>1511</v>
      </c>
      <c r="F339" s="3">
        <v>8.092020783E9</v>
      </c>
      <c r="G339" s="1" t="s">
        <v>46</v>
      </c>
      <c r="H339" s="1" t="s">
        <v>498</v>
      </c>
      <c r="I339" s="1" t="s">
        <v>1512</v>
      </c>
      <c r="J339" s="1" t="s">
        <v>43</v>
      </c>
    </row>
    <row r="340">
      <c r="A340" s="3">
        <v>89653.0</v>
      </c>
      <c r="B340" s="1" t="s">
        <v>1513</v>
      </c>
      <c r="C340" s="4">
        <v>46131.4596875</v>
      </c>
      <c r="D340" s="1" t="s">
        <v>690</v>
      </c>
      <c r="E340" s="1" t="s">
        <v>1514</v>
      </c>
      <c r="F340" s="3">
        <v>9.638812424E9</v>
      </c>
      <c r="G340" s="1" t="s">
        <v>46</v>
      </c>
      <c r="H340" s="1" t="s">
        <v>198</v>
      </c>
      <c r="I340" s="1" t="s">
        <v>1515</v>
      </c>
      <c r="J340" s="1" t="s">
        <v>43</v>
      </c>
    </row>
    <row r="341">
      <c r="A341" s="3">
        <v>89654.0</v>
      </c>
      <c r="B341" s="1" t="s">
        <v>1516</v>
      </c>
      <c r="C341" s="4">
        <v>46131.562569444446</v>
      </c>
      <c r="D341" s="1" t="s">
        <v>694</v>
      </c>
      <c r="E341" s="1" t="s">
        <v>1517</v>
      </c>
      <c r="F341" s="3">
        <v>9.052513833E9</v>
      </c>
      <c r="G341" s="1" t="s">
        <v>46</v>
      </c>
      <c r="H341" s="1" t="s">
        <v>63</v>
      </c>
      <c r="I341" s="1" t="s">
        <v>97</v>
      </c>
      <c r="J341" s="1" t="s">
        <v>43</v>
      </c>
    </row>
    <row r="342">
      <c r="A342" s="3">
        <v>89655.0</v>
      </c>
      <c r="B342" s="1" t="s">
        <v>1518</v>
      </c>
      <c r="C342" s="4">
        <v>46131.58814814815</v>
      </c>
      <c r="D342" s="1" t="s">
        <v>694</v>
      </c>
      <c r="E342" s="1" t="s">
        <v>1519</v>
      </c>
      <c r="F342" s="3">
        <v>7.019720346E9</v>
      </c>
      <c r="G342" s="1" t="s">
        <v>46</v>
      </c>
      <c r="H342" s="1" t="s">
        <v>152</v>
      </c>
      <c r="I342" s="1" t="s">
        <v>151</v>
      </c>
      <c r="J342" s="1" t="s">
        <v>43</v>
      </c>
    </row>
    <row r="343">
      <c r="A343" s="3">
        <v>89656.0</v>
      </c>
      <c r="B343" s="1" t="s">
        <v>529</v>
      </c>
      <c r="C343" s="4">
        <v>46131.609131944446</v>
      </c>
      <c r="D343" s="1" t="s">
        <v>690</v>
      </c>
      <c r="E343" s="1" t="s">
        <v>531</v>
      </c>
      <c r="F343" s="3">
        <v>9.83016211E9</v>
      </c>
      <c r="G343" s="1" t="s">
        <v>46</v>
      </c>
      <c r="H343" s="1" t="s">
        <v>235</v>
      </c>
      <c r="I343" s="1" t="s">
        <v>530</v>
      </c>
      <c r="J343" s="1" t="s">
        <v>43</v>
      </c>
    </row>
    <row r="344">
      <c r="A344" s="3">
        <v>89657.0</v>
      </c>
      <c r="B344" s="1" t="s">
        <v>1520</v>
      </c>
      <c r="C344" s="4">
        <v>46131.65420138889</v>
      </c>
      <c r="D344" s="1" t="s">
        <v>694</v>
      </c>
      <c r="E344" s="1" t="s">
        <v>1521</v>
      </c>
      <c r="F344" s="3">
        <v>7.051017967E9</v>
      </c>
      <c r="G344" s="1" t="s">
        <v>46</v>
      </c>
      <c r="H344" s="1" t="s">
        <v>352</v>
      </c>
      <c r="I344" s="1" t="s">
        <v>351</v>
      </c>
      <c r="J344" s="1" t="s">
        <v>43</v>
      </c>
    </row>
    <row r="345">
      <c r="A345" s="3">
        <v>89662.0</v>
      </c>
      <c r="B345" s="1" t="s">
        <v>1522</v>
      </c>
      <c r="C345" s="4">
        <v>46131.90099537037</v>
      </c>
      <c r="D345" s="1" t="s">
        <v>694</v>
      </c>
      <c r="E345" s="1" t="s">
        <v>1523</v>
      </c>
      <c r="F345" s="10">
        <v>1.7204E10</v>
      </c>
      <c r="G345" s="1" t="s">
        <v>294</v>
      </c>
      <c r="H345" s="1" t="s">
        <v>1468</v>
      </c>
      <c r="I345" s="1" t="s">
        <v>1524</v>
      </c>
      <c r="J345" s="1" t="s">
        <v>43</v>
      </c>
    </row>
    <row r="346">
      <c r="A346" s="3">
        <v>89663.0</v>
      </c>
      <c r="B346" s="1" t="s">
        <v>1525</v>
      </c>
      <c r="C346" s="4">
        <v>46131.913622685184</v>
      </c>
      <c r="D346" s="1" t="s">
        <v>690</v>
      </c>
      <c r="E346" s="1" t="s">
        <v>1526</v>
      </c>
      <c r="F346" s="3">
        <v>7.899542249E9</v>
      </c>
      <c r="G346" s="1" t="s">
        <v>46</v>
      </c>
      <c r="H346" s="1" t="s">
        <v>152</v>
      </c>
      <c r="I346" s="1" t="s">
        <v>151</v>
      </c>
      <c r="J346" s="1" t="s">
        <v>43</v>
      </c>
    </row>
    <row r="347">
      <c r="A347" s="3">
        <v>89664.0</v>
      </c>
      <c r="B347" s="1" t="s">
        <v>1527</v>
      </c>
      <c r="C347" s="4">
        <v>46132.03530092593</v>
      </c>
      <c r="D347" s="1" t="s">
        <v>690</v>
      </c>
      <c r="E347" s="1" t="s">
        <v>1528</v>
      </c>
      <c r="F347" s="3">
        <v>7.656085399E9</v>
      </c>
      <c r="G347" s="1" t="s">
        <v>46</v>
      </c>
      <c r="H347" s="1" t="s">
        <v>152</v>
      </c>
      <c r="I347" s="1" t="s">
        <v>151</v>
      </c>
      <c r="J347" s="1" t="s">
        <v>43</v>
      </c>
    </row>
    <row r="348">
      <c r="A348" s="3">
        <v>89665.0</v>
      </c>
      <c r="B348" s="1" t="s">
        <v>1529</v>
      </c>
      <c r="C348" s="4">
        <v>46132.10885416667</v>
      </c>
      <c r="D348" s="1" t="s">
        <v>694</v>
      </c>
      <c r="E348" s="1" t="s">
        <v>1530</v>
      </c>
      <c r="F348" s="3">
        <v>9.811162247E9</v>
      </c>
      <c r="G348" s="1" t="s">
        <v>46</v>
      </c>
      <c r="H348" s="1" t="s">
        <v>241</v>
      </c>
      <c r="I348" s="1" t="s">
        <v>241</v>
      </c>
      <c r="J348" s="1" t="s">
        <v>43</v>
      </c>
    </row>
    <row r="349">
      <c r="A349" s="3">
        <v>89666.0</v>
      </c>
      <c r="B349" s="1" t="s">
        <v>1531</v>
      </c>
      <c r="C349" s="4">
        <v>46132.27512731482</v>
      </c>
      <c r="D349" s="1" t="s">
        <v>690</v>
      </c>
      <c r="E349" s="1" t="s">
        <v>1532</v>
      </c>
      <c r="F349" s="3">
        <v>3.469700034E9</v>
      </c>
      <c r="G349" s="1" t="s">
        <v>294</v>
      </c>
      <c r="H349" s="1" t="s">
        <v>1134</v>
      </c>
      <c r="I349" s="1" t="s">
        <v>1533</v>
      </c>
      <c r="J349" s="1" t="s">
        <v>43</v>
      </c>
    </row>
    <row r="350">
      <c r="A350" s="3">
        <v>89667.0</v>
      </c>
      <c r="B350" s="1" t="s">
        <v>1534</v>
      </c>
      <c r="C350" s="4">
        <v>46132.408587962964</v>
      </c>
      <c r="D350" s="1" t="s">
        <v>694</v>
      </c>
      <c r="E350" s="1" t="s">
        <v>1535</v>
      </c>
      <c r="F350" s="3">
        <v>6.280127953E9</v>
      </c>
      <c r="G350" s="1" t="s">
        <v>46</v>
      </c>
      <c r="H350" s="1" t="s">
        <v>45</v>
      </c>
      <c r="I350" s="1" t="s">
        <v>1536</v>
      </c>
      <c r="J350" s="1" t="s">
        <v>43</v>
      </c>
    </row>
    <row r="351">
      <c r="A351" s="3">
        <v>89668.0</v>
      </c>
      <c r="B351" s="1" t="s">
        <v>1537</v>
      </c>
      <c r="C351" s="4">
        <v>46132.4090162037</v>
      </c>
      <c r="D351" s="1" t="s">
        <v>694</v>
      </c>
      <c r="E351" s="1" t="s">
        <v>1538</v>
      </c>
      <c r="F351" s="3">
        <v>6.0468044E7</v>
      </c>
      <c r="G351" s="1" t="s">
        <v>1539</v>
      </c>
      <c r="H351" s="1" t="s">
        <v>1540</v>
      </c>
      <c r="I351" s="1" t="s">
        <v>1541</v>
      </c>
      <c r="J351" s="1" t="s">
        <v>43</v>
      </c>
    </row>
    <row r="352">
      <c r="A352" s="3">
        <v>89669.0</v>
      </c>
      <c r="B352" s="1" t="s">
        <v>1542</v>
      </c>
      <c r="C352" s="4">
        <v>46132.43965277778</v>
      </c>
      <c r="D352" s="1" t="s">
        <v>694</v>
      </c>
      <c r="E352" s="1" t="s">
        <v>1543</v>
      </c>
      <c r="F352" s="3">
        <v>9.90253077E9</v>
      </c>
      <c r="G352" s="1" t="s">
        <v>46</v>
      </c>
      <c r="H352" s="1" t="s">
        <v>152</v>
      </c>
      <c r="I352" s="1" t="s">
        <v>1288</v>
      </c>
      <c r="J352" s="1" t="s">
        <v>43</v>
      </c>
    </row>
    <row r="353">
      <c r="A353" s="3">
        <v>89670.0</v>
      </c>
      <c r="B353" s="1" t="s">
        <v>1544</v>
      </c>
      <c r="C353" s="4">
        <v>46132.44190972222</v>
      </c>
      <c r="D353" s="1" t="s">
        <v>694</v>
      </c>
      <c r="E353" s="1" t="s">
        <v>1545</v>
      </c>
      <c r="F353" s="10">
        <v>1.485E10</v>
      </c>
      <c r="G353" s="1" t="s">
        <v>294</v>
      </c>
      <c r="H353" s="1" t="s">
        <v>960</v>
      </c>
      <c r="I353" s="1" t="s">
        <v>961</v>
      </c>
      <c r="J353" s="1" t="s">
        <v>43</v>
      </c>
    </row>
    <row r="354">
      <c r="A354" s="3">
        <v>89671.0</v>
      </c>
      <c r="B354" s="1" t="s">
        <v>1546</v>
      </c>
      <c r="C354" s="4">
        <v>46132.44243055556</v>
      </c>
      <c r="D354" s="1" t="s">
        <v>694</v>
      </c>
      <c r="E354" s="1" t="s">
        <v>1547</v>
      </c>
      <c r="F354" s="7" t="str">
        <f>+91 63781 48769</f>
        <v>#ERROR!</v>
      </c>
      <c r="G354" s="1" t="s">
        <v>46</v>
      </c>
      <c r="H354" s="1" t="s">
        <v>285</v>
      </c>
      <c r="I354" s="1" t="s">
        <v>284</v>
      </c>
      <c r="J354" s="1" t="s">
        <v>43</v>
      </c>
    </row>
    <row r="355">
      <c r="A355" s="3">
        <v>89672.0</v>
      </c>
      <c r="B355" s="1" t="s">
        <v>1548</v>
      </c>
      <c r="C355" s="4">
        <v>46132.4512962963</v>
      </c>
      <c r="D355" s="1" t="s">
        <v>694</v>
      </c>
      <c r="E355" s="1" t="s">
        <v>1549</v>
      </c>
      <c r="F355" s="10">
        <v>1.6199E10</v>
      </c>
      <c r="G355" s="1" t="s">
        <v>294</v>
      </c>
      <c r="H355" s="1" t="s">
        <v>1550</v>
      </c>
      <c r="I355" s="1" t="s">
        <v>1551</v>
      </c>
      <c r="J355" s="1" t="s">
        <v>43</v>
      </c>
    </row>
    <row r="356">
      <c r="A356" s="3">
        <v>89673.0</v>
      </c>
      <c r="B356" s="1" t="s">
        <v>1552</v>
      </c>
      <c r="C356" s="4">
        <v>46132.46886574074</v>
      </c>
      <c r="D356" s="1" t="s">
        <v>694</v>
      </c>
      <c r="E356" s="1" t="s">
        <v>1553</v>
      </c>
      <c r="F356" s="3">
        <v>8.14855243E9</v>
      </c>
      <c r="G356" s="1" t="s">
        <v>46</v>
      </c>
      <c r="H356" s="1" t="s">
        <v>118</v>
      </c>
      <c r="I356" s="1" t="s">
        <v>473</v>
      </c>
      <c r="J356" s="1" t="s">
        <v>43</v>
      </c>
    </row>
    <row r="357">
      <c r="A357" s="3">
        <v>89674.0</v>
      </c>
      <c r="B357" s="1" t="s">
        <v>1554</v>
      </c>
      <c r="C357" s="4">
        <v>46132.4928125</v>
      </c>
      <c r="D357" s="1" t="s">
        <v>694</v>
      </c>
      <c r="E357" s="1" t="s">
        <v>1555</v>
      </c>
      <c r="F357" s="3">
        <v>8.930486101E9</v>
      </c>
      <c r="G357" s="1" t="s">
        <v>46</v>
      </c>
      <c r="H357" s="1" t="s">
        <v>124</v>
      </c>
      <c r="I357" s="1" t="s">
        <v>899</v>
      </c>
      <c r="J357" s="1" t="s">
        <v>43</v>
      </c>
    </row>
    <row r="358">
      <c r="A358" s="3">
        <v>89675.0</v>
      </c>
      <c r="B358" s="1" t="s">
        <v>1556</v>
      </c>
      <c r="C358" s="4">
        <v>46132.5541087963</v>
      </c>
      <c r="D358" s="1" t="s">
        <v>694</v>
      </c>
      <c r="E358" s="1" t="s">
        <v>1557</v>
      </c>
      <c r="F358" s="3">
        <v>9.895439085E9</v>
      </c>
      <c r="G358" s="1" t="s">
        <v>46</v>
      </c>
      <c r="H358" s="1" t="s">
        <v>331</v>
      </c>
      <c r="I358" s="1" t="s">
        <v>1558</v>
      </c>
      <c r="J358" s="1" t="s">
        <v>43</v>
      </c>
    </row>
    <row r="359">
      <c r="A359" s="3">
        <v>89676.0</v>
      </c>
      <c r="B359" s="1" t="s">
        <v>1559</v>
      </c>
      <c r="C359" s="4">
        <v>46132.57225694445</v>
      </c>
      <c r="D359" s="1" t="s">
        <v>694</v>
      </c>
      <c r="E359" s="1" t="s">
        <v>1560</v>
      </c>
      <c r="F359" s="3">
        <v>9.51899483E9</v>
      </c>
      <c r="G359" s="1" t="s">
        <v>1561</v>
      </c>
      <c r="H359" s="1" t="s">
        <v>1562</v>
      </c>
      <c r="I359" s="1" t="s">
        <v>1562</v>
      </c>
      <c r="J359" s="1" t="s">
        <v>43</v>
      </c>
    </row>
    <row r="360">
      <c r="A360" s="3">
        <v>89677.0</v>
      </c>
      <c r="B360" s="1" t="s">
        <v>1563</v>
      </c>
      <c r="C360" s="4">
        <v>46132.61646990741</v>
      </c>
      <c r="D360" s="1" t="s">
        <v>694</v>
      </c>
      <c r="E360" s="1" t="s">
        <v>1564</v>
      </c>
      <c r="F360" s="3">
        <v>9.182032927E9</v>
      </c>
      <c r="G360" s="1" t="s">
        <v>46</v>
      </c>
      <c r="H360" s="1" t="s">
        <v>746</v>
      </c>
      <c r="I360" s="1" t="s">
        <v>1565</v>
      </c>
      <c r="J360" s="1" t="s">
        <v>43</v>
      </c>
    </row>
    <row r="361">
      <c r="A361" s="3">
        <v>89678.0</v>
      </c>
      <c r="B361" s="1" t="s">
        <v>1566</v>
      </c>
      <c r="C361" s="4">
        <v>46132.617939814816</v>
      </c>
      <c r="D361" s="1" t="s">
        <v>694</v>
      </c>
      <c r="E361" s="1" t="s">
        <v>1567</v>
      </c>
      <c r="F361" s="3">
        <v>6.354937101E9</v>
      </c>
      <c r="G361" s="1" t="s">
        <v>46</v>
      </c>
      <c r="H361" s="1" t="s">
        <v>152</v>
      </c>
      <c r="I361" s="1" t="s">
        <v>151</v>
      </c>
      <c r="J361" s="1" t="s">
        <v>43</v>
      </c>
    </row>
    <row r="362">
      <c r="A362" s="3">
        <v>89679.0</v>
      </c>
      <c r="B362" s="1" t="s">
        <v>1568</v>
      </c>
      <c r="C362" s="4">
        <v>46132.627962962964</v>
      </c>
      <c r="D362" s="1" t="s">
        <v>694</v>
      </c>
      <c r="E362" s="1" t="s">
        <v>1569</v>
      </c>
      <c r="F362" s="3">
        <v>9.884939675E9</v>
      </c>
      <c r="G362" s="1" t="s">
        <v>46</v>
      </c>
      <c r="H362" s="1" t="s">
        <v>118</v>
      </c>
      <c r="I362" s="1" t="s">
        <v>1570</v>
      </c>
      <c r="J362" s="1" t="s">
        <v>43</v>
      </c>
    </row>
    <row r="363">
      <c r="A363" s="3">
        <v>89680.0</v>
      </c>
      <c r="B363" s="1" t="s">
        <v>1571</v>
      </c>
      <c r="C363" s="4">
        <v>46132.651400462964</v>
      </c>
      <c r="D363" s="1" t="s">
        <v>694</v>
      </c>
      <c r="E363" s="1" t="s">
        <v>1572</v>
      </c>
      <c r="F363" s="3">
        <v>9.953993473E9</v>
      </c>
      <c r="G363" s="1" t="s">
        <v>46</v>
      </c>
      <c r="H363" s="1" t="s">
        <v>45</v>
      </c>
      <c r="I363" s="1" t="s">
        <v>743</v>
      </c>
      <c r="J363" s="1" t="s">
        <v>43</v>
      </c>
    </row>
    <row r="364">
      <c r="A364" s="3">
        <v>89681.0</v>
      </c>
      <c r="B364" s="1" t="s">
        <v>1573</v>
      </c>
      <c r="C364" s="4">
        <v>46132.69018518519</v>
      </c>
      <c r="D364" s="1" t="s">
        <v>694</v>
      </c>
      <c r="E364" s="1" t="s">
        <v>1574</v>
      </c>
      <c r="F364" s="3">
        <v>9.309907272E9</v>
      </c>
      <c r="G364" s="1" t="s">
        <v>46</v>
      </c>
      <c r="H364" s="1" t="s">
        <v>63</v>
      </c>
      <c r="I364" s="1" t="s">
        <v>1575</v>
      </c>
      <c r="J364" s="1" t="s">
        <v>43</v>
      </c>
    </row>
    <row r="365">
      <c r="A365" s="3">
        <v>89682.0</v>
      </c>
      <c r="B365" s="1" t="s">
        <v>1576</v>
      </c>
      <c r="C365" s="4">
        <v>46132.69390046296</v>
      </c>
      <c r="D365" s="1" t="s">
        <v>694</v>
      </c>
      <c r="E365" s="1" t="s">
        <v>1577</v>
      </c>
      <c r="F365" s="3">
        <v>8.697158836E9</v>
      </c>
      <c r="G365" s="1" t="s">
        <v>46</v>
      </c>
      <c r="H365" s="1" t="s">
        <v>235</v>
      </c>
      <c r="I365" s="1" t="s">
        <v>234</v>
      </c>
      <c r="J365" s="1" t="s">
        <v>43</v>
      </c>
    </row>
    <row r="366">
      <c r="A366" s="3">
        <v>89683.0</v>
      </c>
      <c r="B366" s="1" t="s">
        <v>164</v>
      </c>
      <c r="C366" s="4">
        <v>46132.73233796296</v>
      </c>
      <c r="D366" s="1" t="s">
        <v>690</v>
      </c>
      <c r="E366" s="1" t="s">
        <v>166</v>
      </c>
      <c r="F366" s="3">
        <v>9.764902409E9</v>
      </c>
      <c r="G366" s="1" t="s">
        <v>46</v>
      </c>
      <c r="H366" s="1" t="s">
        <v>152</v>
      </c>
      <c r="I366" s="1" t="s">
        <v>151</v>
      </c>
      <c r="J366" s="1" t="s">
        <v>43</v>
      </c>
    </row>
    <row r="367">
      <c r="A367" s="3">
        <v>89684.0</v>
      </c>
      <c r="B367" s="1" t="s">
        <v>1578</v>
      </c>
      <c r="C367" s="4">
        <v>46132.79577546296</v>
      </c>
      <c r="D367" s="1" t="s">
        <v>694</v>
      </c>
      <c r="E367" s="1" t="s">
        <v>1579</v>
      </c>
      <c r="F367" s="3">
        <v>6.392071257E9</v>
      </c>
      <c r="G367" s="1" t="s">
        <v>46</v>
      </c>
      <c r="H367" s="1" t="s">
        <v>235</v>
      </c>
      <c r="I367" s="1" t="s">
        <v>1580</v>
      </c>
      <c r="J367" s="1" t="s">
        <v>43</v>
      </c>
    </row>
    <row r="368">
      <c r="A368" s="3">
        <v>89685.0</v>
      </c>
      <c r="B368" s="1" t="s">
        <v>1581</v>
      </c>
      <c r="C368" s="4">
        <v>46132.80391203704</v>
      </c>
      <c r="D368" s="1" t="s">
        <v>694</v>
      </c>
      <c r="E368" s="1" t="s">
        <v>1582</v>
      </c>
      <c r="F368" s="10">
        <v>1.763E10</v>
      </c>
      <c r="G368" s="1" t="s">
        <v>390</v>
      </c>
      <c r="H368" s="1" t="s">
        <v>1583</v>
      </c>
      <c r="I368" s="1" t="s">
        <v>1583</v>
      </c>
      <c r="J368" s="1" t="s">
        <v>43</v>
      </c>
    </row>
    <row r="369">
      <c r="A369" s="3">
        <v>89686.0</v>
      </c>
      <c r="B369" s="1" t="s">
        <v>1584</v>
      </c>
      <c r="C369" s="4">
        <v>46132.91615740741</v>
      </c>
      <c r="D369" s="1" t="s">
        <v>694</v>
      </c>
      <c r="E369" s="1" t="s">
        <v>1585</v>
      </c>
      <c r="F369" s="3">
        <v>8.838675794E9</v>
      </c>
      <c r="G369" s="1" t="s">
        <v>46</v>
      </c>
      <c r="H369" s="1" t="s">
        <v>118</v>
      </c>
      <c r="I369" s="1" t="s">
        <v>1586</v>
      </c>
      <c r="J369" s="1" t="s">
        <v>43</v>
      </c>
    </row>
    <row r="370">
      <c r="A370" s="3">
        <v>89687.0</v>
      </c>
      <c r="B370" s="1" t="s">
        <v>1587</v>
      </c>
      <c r="C370" s="4">
        <v>46132.983668981484</v>
      </c>
      <c r="D370" s="1" t="s">
        <v>694</v>
      </c>
      <c r="E370" s="1" t="s">
        <v>1588</v>
      </c>
      <c r="F370" s="3">
        <v>8.860316141E9</v>
      </c>
      <c r="G370" s="1" t="s">
        <v>46</v>
      </c>
      <c r="H370" s="1" t="s">
        <v>53</v>
      </c>
      <c r="I370" s="1" t="s">
        <v>611</v>
      </c>
      <c r="J370" s="1" t="s">
        <v>43</v>
      </c>
    </row>
    <row r="371">
      <c r="A371" s="3">
        <v>89688.0</v>
      </c>
      <c r="B371" s="1" t="s">
        <v>1589</v>
      </c>
      <c r="C371" s="4">
        <v>46132.98668981482</v>
      </c>
      <c r="D371" s="1" t="s">
        <v>694</v>
      </c>
      <c r="E371" s="1" t="s">
        <v>1590</v>
      </c>
      <c r="F371" s="3">
        <v>9.701565417E9</v>
      </c>
      <c r="G371" s="1" t="s">
        <v>46</v>
      </c>
      <c r="H371" s="1" t="s">
        <v>331</v>
      </c>
      <c r="I371" s="1" t="s">
        <v>1226</v>
      </c>
      <c r="J371" s="1" t="s">
        <v>43</v>
      </c>
    </row>
    <row r="372">
      <c r="A372" s="3">
        <v>89689.0</v>
      </c>
      <c r="B372" s="1" t="s">
        <v>1591</v>
      </c>
      <c r="C372" s="4">
        <v>46133.01099537037</v>
      </c>
      <c r="D372" s="1" t="s">
        <v>690</v>
      </c>
      <c r="E372" s="1" t="s">
        <v>1592</v>
      </c>
      <c r="F372" s="3">
        <v>7.032211309E9</v>
      </c>
      <c r="G372" s="1" t="s">
        <v>46</v>
      </c>
      <c r="H372" s="1" t="s">
        <v>63</v>
      </c>
      <c r="I372" s="1" t="s">
        <v>85</v>
      </c>
      <c r="J372" s="1" t="s">
        <v>43</v>
      </c>
    </row>
    <row r="373">
      <c r="A373" s="3">
        <v>89690.0</v>
      </c>
      <c r="B373" s="1" t="s">
        <v>1593</v>
      </c>
      <c r="C373" s="4">
        <v>46133.04420138889</v>
      </c>
      <c r="D373" s="1" t="s">
        <v>694</v>
      </c>
      <c r="E373" s="1" t="s">
        <v>1594</v>
      </c>
      <c r="F373" s="7" t="str">
        <f>+1 9842596971</f>
        <v>#ERROR!</v>
      </c>
      <c r="G373" s="1" t="s">
        <v>294</v>
      </c>
      <c r="H373" s="1" t="s">
        <v>1595</v>
      </c>
      <c r="I373" s="1" t="s">
        <v>1596</v>
      </c>
      <c r="J373" s="1" t="s">
        <v>43</v>
      </c>
    </row>
    <row r="374">
      <c r="A374" s="3">
        <v>89691.0</v>
      </c>
      <c r="B374" s="1" t="s">
        <v>1597</v>
      </c>
      <c r="C374" s="4">
        <v>46133.35078703704</v>
      </c>
      <c r="D374" s="1" t="s">
        <v>690</v>
      </c>
      <c r="E374" s="1" t="s">
        <v>1598</v>
      </c>
      <c r="F374" s="3">
        <v>9.345316756E9</v>
      </c>
      <c r="G374" s="1" t="s">
        <v>46</v>
      </c>
      <c r="H374" s="1" t="s">
        <v>118</v>
      </c>
      <c r="I374" s="1" t="s">
        <v>1599</v>
      </c>
      <c r="J374" s="1" t="s">
        <v>43</v>
      </c>
    </row>
    <row r="375">
      <c r="A375" s="3">
        <v>89692.0</v>
      </c>
      <c r="B375" s="1" t="s">
        <v>1600</v>
      </c>
      <c r="C375" s="4">
        <v>46133.45244212963</v>
      </c>
      <c r="D375" s="1" t="s">
        <v>690</v>
      </c>
      <c r="E375" s="1" t="s">
        <v>1601</v>
      </c>
      <c r="F375" s="3">
        <v>7.974880278E9</v>
      </c>
      <c r="G375" s="1" t="s">
        <v>46</v>
      </c>
      <c r="H375" s="1" t="s">
        <v>203</v>
      </c>
      <c r="I375" s="1" t="s">
        <v>539</v>
      </c>
      <c r="J375" s="1" t="s">
        <v>43</v>
      </c>
    </row>
    <row r="376">
      <c r="A376" s="3">
        <v>89693.0</v>
      </c>
      <c r="B376" s="1" t="s">
        <v>1602</v>
      </c>
      <c r="C376" s="4">
        <v>46133.45674768519</v>
      </c>
      <c r="D376" s="1" t="s">
        <v>690</v>
      </c>
      <c r="E376" s="1" t="s">
        <v>1603</v>
      </c>
      <c r="F376" s="3">
        <v>9.445071114E9</v>
      </c>
      <c r="G376" s="1" t="s">
        <v>46</v>
      </c>
      <c r="H376" s="1" t="s">
        <v>118</v>
      </c>
      <c r="I376" s="1" t="s">
        <v>473</v>
      </c>
      <c r="J376" s="1" t="s">
        <v>43</v>
      </c>
    </row>
    <row r="377">
      <c r="A377" s="3">
        <v>89694.0</v>
      </c>
      <c r="B377" s="1" t="s">
        <v>1604</v>
      </c>
      <c r="C377" s="4">
        <v>46133.457824074074</v>
      </c>
      <c r="D377" s="1" t="s">
        <v>694</v>
      </c>
      <c r="E377" s="1" t="s">
        <v>1605</v>
      </c>
      <c r="F377" s="3">
        <v>9.150265509E9</v>
      </c>
      <c r="G377" s="1" t="s">
        <v>46</v>
      </c>
      <c r="H377" s="1" t="s">
        <v>118</v>
      </c>
      <c r="I377" s="1" t="s">
        <v>473</v>
      </c>
      <c r="J377" s="1" t="s">
        <v>43</v>
      </c>
    </row>
    <row r="378">
      <c r="A378" s="3">
        <v>89695.0</v>
      </c>
      <c r="B378" s="1" t="s">
        <v>1606</v>
      </c>
      <c r="C378" s="4">
        <v>46133.49524305556</v>
      </c>
      <c r="D378" s="1" t="s">
        <v>694</v>
      </c>
      <c r="E378" s="1" t="s">
        <v>1607</v>
      </c>
      <c r="F378" s="3">
        <v>9.971597067E9</v>
      </c>
      <c r="G378" s="1" t="s">
        <v>46</v>
      </c>
      <c r="H378" s="1" t="s">
        <v>152</v>
      </c>
      <c r="I378" s="1" t="s">
        <v>151</v>
      </c>
      <c r="J378" s="1" t="s">
        <v>43</v>
      </c>
    </row>
    <row r="379">
      <c r="A379" s="3">
        <v>89696.0</v>
      </c>
      <c r="B379" s="1" t="s">
        <v>1608</v>
      </c>
      <c r="C379" s="4">
        <v>46133.51829861111</v>
      </c>
      <c r="D379" s="1" t="s">
        <v>694</v>
      </c>
      <c r="E379" s="1" t="s">
        <v>1609</v>
      </c>
      <c r="F379" s="3">
        <v>7.017113239E9</v>
      </c>
      <c r="G379" s="1" t="s">
        <v>46</v>
      </c>
      <c r="H379" s="1" t="s">
        <v>53</v>
      </c>
      <c r="I379" s="1" t="s">
        <v>611</v>
      </c>
      <c r="J379" s="1" t="s">
        <v>43</v>
      </c>
    </row>
    <row r="380">
      <c r="A380" s="3">
        <v>89697.0</v>
      </c>
      <c r="B380" s="1" t="s">
        <v>1610</v>
      </c>
      <c r="C380" s="4">
        <v>46133.572696759256</v>
      </c>
      <c r="D380" s="1" t="s">
        <v>690</v>
      </c>
      <c r="E380" s="1" t="s">
        <v>1611</v>
      </c>
      <c r="F380" s="3">
        <v>8.485861202E9</v>
      </c>
      <c r="G380" s="1" t="s">
        <v>46</v>
      </c>
      <c r="H380" s="1" t="s">
        <v>45</v>
      </c>
      <c r="I380" s="1" t="s">
        <v>456</v>
      </c>
      <c r="J380" s="1" t="s">
        <v>43</v>
      </c>
    </row>
    <row r="381">
      <c r="A381" s="3">
        <v>89698.0</v>
      </c>
      <c r="B381" s="1" t="s">
        <v>1612</v>
      </c>
      <c r="C381" s="4">
        <v>46133.60258101852</v>
      </c>
      <c r="D381" s="1" t="s">
        <v>694</v>
      </c>
      <c r="E381" s="1" t="s">
        <v>1613</v>
      </c>
      <c r="F381" s="3">
        <v>9.019337439E9</v>
      </c>
      <c r="G381" s="1" t="s">
        <v>46</v>
      </c>
      <c r="H381" s="1" t="s">
        <v>152</v>
      </c>
      <c r="I381" s="1" t="s">
        <v>1614</v>
      </c>
      <c r="J381" s="1" t="s">
        <v>43</v>
      </c>
    </row>
    <row r="382">
      <c r="A382" s="3">
        <v>89699.0</v>
      </c>
      <c r="B382" s="1" t="s">
        <v>1615</v>
      </c>
      <c r="C382" s="4">
        <v>46133.61819444445</v>
      </c>
      <c r="D382" s="1" t="s">
        <v>694</v>
      </c>
      <c r="E382" s="1" t="s">
        <v>1616</v>
      </c>
      <c r="F382" s="3">
        <v>9.555570297E9</v>
      </c>
      <c r="G382" s="1" t="s">
        <v>46</v>
      </c>
      <c r="H382" s="1" t="s">
        <v>53</v>
      </c>
      <c r="I382" s="1" t="s">
        <v>381</v>
      </c>
      <c r="J382" s="1" t="s">
        <v>43</v>
      </c>
    </row>
    <row r="383">
      <c r="A383" s="3">
        <v>89700.0</v>
      </c>
      <c r="B383" s="1" t="s">
        <v>1617</v>
      </c>
      <c r="C383" s="4">
        <v>46133.624247685184</v>
      </c>
      <c r="D383" s="1" t="s">
        <v>694</v>
      </c>
      <c r="E383" s="1" t="s">
        <v>1618</v>
      </c>
      <c r="F383" s="1" t="s">
        <v>1619</v>
      </c>
      <c r="G383" s="1" t="s">
        <v>46</v>
      </c>
      <c r="H383" s="1" t="s">
        <v>63</v>
      </c>
      <c r="I383" s="1" t="s">
        <v>862</v>
      </c>
      <c r="J383" s="1" t="s">
        <v>43</v>
      </c>
    </row>
    <row r="384">
      <c r="A384" s="3">
        <v>89701.0</v>
      </c>
      <c r="B384" s="1" t="s">
        <v>1620</v>
      </c>
      <c r="C384" s="4">
        <v>46133.63596064815</v>
      </c>
      <c r="D384" s="1" t="s">
        <v>694</v>
      </c>
      <c r="E384" s="1" t="s">
        <v>1621</v>
      </c>
      <c r="F384" s="3">
        <v>7.428074248E9</v>
      </c>
      <c r="G384" s="1" t="s">
        <v>46</v>
      </c>
      <c r="H384" s="1" t="s">
        <v>241</v>
      </c>
      <c r="I384" s="1" t="s">
        <v>275</v>
      </c>
      <c r="J384" s="1" t="s">
        <v>43</v>
      </c>
    </row>
    <row r="385">
      <c r="A385" s="3">
        <v>89702.0</v>
      </c>
      <c r="B385" s="1" t="s">
        <v>1622</v>
      </c>
      <c r="C385" s="4">
        <v>46133.7171875</v>
      </c>
      <c r="D385" s="1" t="s">
        <v>690</v>
      </c>
      <c r="E385" s="1" t="s">
        <v>1623</v>
      </c>
      <c r="F385" s="3">
        <v>6.263179732E9</v>
      </c>
      <c r="G385" s="1" t="s">
        <v>46</v>
      </c>
      <c r="H385" s="1" t="s">
        <v>209</v>
      </c>
      <c r="I385" s="1" t="s">
        <v>1624</v>
      </c>
      <c r="J385" s="1" t="s">
        <v>43</v>
      </c>
    </row>
    <row r="386">
      <c r="A386" s="3">
        <v>89703.0</v>
      </c>
      <c r="B386" s="1" t="s">
        <v>1625</v>
      </c>
      <c r="C386" s="4">
        <v>46133.71733796296</v>
      </c>
      <c r="D386" s="1" t="s">
        <v>694</v>
      </c>
      <c r="E386" s="1" t="s">
        <v>1626</v>
      </c>
      <c r="F386" s="3">
        <v>9.975496962E9</v>
      </c>
      <c r="G386" s="1" t="s">
        <v>46</v>
      </c>
      <c r="H386" s="1" t="s">
        <v>63</v>
      </c>
      <c r="I386" s="1" t="s">
        <v>97</v>
      </c>
      <c r="J386" s="1" t="s">
        <v>43</v>
      </c>
    </row>
    <row r="387">
      <c r="A387" s="3">
        <v>89704.0</v>
      </c>
      <c r="B387" s="1" t="s">
        <v>1627</v>
      </c>
      <c r="C387" s="4">
        <v>46133.774097222224</v>
      </c>
      <c r="D387" s="1" t="s">
        <v>690</v>
      </c>
      <c r="E387" s="1" t="s">
        <v>1628</v>
      </c>
      <c r="F387" s="3">
        <v>7.771800865E9</v>
      </c>
      <c r="G387" s="1" t="s">
        <v>46</v>
      </c>
      <c r="H387" s="1" t="s">
        <v>63</v>
      </c>
      <c r="I387" s="1" t="s">
        <v>97</v>
      </c>
      <c r="J387" s="1" t="s">
        <v>43</v>
      </c>
    </row>
    <row r="388">
      <c r="A388" s="3">
        <v>89705.0</v>
      </c>
      <c r="B388" s="1" t="s">
        <v>1629</v>
      </c>
      <c r="C388" s="4">
        <v>46133.85136574074</v>
      </c>
      <c r="D388" s="1" t="s">
        <v>694</v>
      </c>
      <c r="E388" s="1" t="s">
        <v>1630</v>
      </c>
      <c r="F388" s="3">
        <v>6.30505809E9</v>
      </c>
      <c r="G388" s="1" t="s">
        <v>46</v>
      </c>
      <c r="H388" s="1" t="s">
        <v>104</v>
      </c>
      <c r="I388" s="1" t="s">
        <v>103</v>
      </c>
      <c r="J388" s="1" t="s">
        <v>43</v>
      </c>
    </row>
    <row r="389">
      <c r="A389" s="3">
        <v>89706.0</v>
      </c>
      <c r="B389" s="1" t="s">
        <v>1631</v>
      </c>
      <c r="C389" s="4">
        <v>46133.874456018515</v>
      </c>
      <c r="D389" s="1" t="s">
        <v>694</v>
      </c>
      <c r="E389" s="1" t="s">
        <v>1632</v>
      </c>
      <c r="F389" s="3">
        <v>9.742623442E9</v>
      </c>
      <c r="G389" s="1" t="s">
        <v>46</v>
      </c>
      <c r="H389" s="1" t="s">
        <v>152</v>
      </c>
      <c r="I389" s="1" t="s">
        <v>151</v>
      </c>
      <c r="J389" s="1" t="s">
        <v>43</v>
      </c>
    </row>
    <row r="390">
      <c r="A390" s="3">
        <v>89707.0</v>
      </c>
      <c r="B390" s="1" t="s">
        <v>1633</v>
      </c>
      <c r="C390" s="4">
        <v>46133.969375</v>
      </c>
      <c r="D390" s="1" t="s">
        <v>694</v>
      </c>
      <c r="E390" s="1" t="s">
        <v>1634</v>
      </c>
      <c r="F390" s="3">
        <v>9.130588054E9</v>
      </c>
      <c r="G390" s="1" t="s">
        <v>46</v>
      </c>
      <c r="H390" s="1" t="s">
        <v>63</v>
      </c>
      <c r="I390" s="1" t="s">
        <v>97</v>
      </c>
      <c r="J390" s="1" t="s">
        <v>43</v>
      </c>
    </row>
    <row r="391">
      <c r="A391" s="3">
        <v>89708.0</v>
      </c>
      <c r="B391" s="1" t="s">
        <v>1635</v>
      </c>
      <c r="C391" s="4">
        <v>46133.98165509259</v>
      </c>
      <c r="D391" s="1" t="s">
        <v>690</v>
      </c>
      <c r="E391" s="1" t="s">
        <v>1636</v>
      </c>
      <c r="F391" s="3">
        <v>7.689970998E9</v>
      </c>
      <c r="G391" s="1" t="s">
        <v>46</v>
      </c>
      <c r="H391" s="1" t="s">
        <v>152</v>
      </c>
      <c r="I391" s="1" t="s">
        <v>1288</v>
      </c>
      <c r="J391" s="1" t="s">
        <v>43</v>
      </c>
    </row>
    <row r="392">
      <c r="A392" s="3">
        <v>89709.0</v>
      </c>
      <c r="B392" s="1" t="s">
        <v>1637</v>
      </c>
      <c r="C392" s="4">
        <v>46134.12967592593</v>
      </c>
      <c r="D392" s="1" t="s">
        <v>694</v>
      </c>
      <c r="E392" s="1" t="s">
        <v>1638</v>
      </c>
      <c r="F392" s="3">
        <v>2.163763723E9</v>
      </c>
      <c r="G392" s="1" t="s">
        <v>294</v>
      </c>
      <c r="H392" s="1" t="s">
        <v>918</v>
      </c>
      <c r="I392" s="1" t="s">
        <v>1639</v>
      </c>
      <c r="J392" s="1" t="s">
        <v>43</v>
      </c>
    </row>
    <row r="393">
      <c r="A393" s="3">
        <v>89710.0</v>
      </c>
      <c r="B393" s="1" t="s">
        <v>1640</v>
      </c>
      <c r="C393" s="4">
        <v>46134.35275462963</v>
      </c>
      <c r="E393" s="1" t="s">
        <v>1641</v>
      </c>
      <c r="F393" s="3">
        <v>9.922238489E9</v>
      </c>
      <c r="G393" s="7"/>
      <c r="H393" s="7"/>
      <c r="I393" s="7"/>
      <c r="J393" s="1" t="s">
        <v>1642</v>
      </c>
    </row>
    <row r="394">
      <c r="A394" s="3">
        <v>89711.0</v>
      </c>
      <c r="B394" s="1" t="s">
        <v>1643</v>
      </c>
      <c r="C394" s="4">
        <v>46134.362395833334</v>
      </c>
      <c r="D394" s="1" t="s">
        <v>690</v>
      </c>
      <c r="E394" s="1" t="s">
        <v>1644</v>
      </c>
      <c r="F394" s="10">
        <v>9.1911E11</v>
      </c>
      <c r="G394" s="1" t="s">
        <v>46</v>
      </c>
      <c r="H394" s="1" t="s">
        <v>152</v>
      </c>
      <c r="I394" s="1" t="s">
        <v>151</v>
      </c>
      <c r="J394" s="1" t="s">
        <v>43</v>
      </c>
    </row>
    <row r="395">
      <c r="A395" s="3">
        <v>89712.0</v>
      </c>
      <c r="B395" s="1" t="s">
        <v>1645</v>
      </c>
      <c r="C395" s="4">
        <v>46134.416041666664</v>
      </c>
      <c r="D395" s="1" t="s">
        <v>694</v>
      </c>
      <c r="E395" s="1" t="s">
        <v>1646</v>
      </c>
      <c r="F395" s="3">
        <v>6.388508211E9</v>
      </c>
      <c r="G395" s="1" t="s">
        <v>46</v>
      </c>
      <c r="H395" s="1" t="s">
        <v>53</v>
      </c>
      <c r="I395" s="1" t="s">
        <v>1647</v>
      </c>
      <c r="J395" s="1" t="s">
        <v>43</v>
      </c>
    </row>
    <row r="396">
      <c r="A396" s="3">
        <v>89713.0</v>
      </c>
      <c r="B396" s="1" t="s">
        <v>1648</v>
      </c>
      <c r="C396" s="4">
        <v>46134.42755787037</v>
      </c>
      <c r="D396" s="1" t="s">
        <v>694</v>
      </c>
      <c r="E396" s="1" t="s">
        <v>1649</v>
      </c>
      <c r="F396" s="3">
        <v>9.773954096E9</v>
      </c>
      <c r="G396" s="1" t="s">
        <v>46</v>
      </c>
      <c r="H396" s="1" t="s">
        <v>124</v>
      </c>
      <c r="I396" s="1" t="s">
        <v>315</v>
      </c>
      <c r="J396" s="7"/>
      <c r="K396" s="7"/>
    </row>
    <row r="397">
      <c r="A397" s="3">
        <v>89714.0</v>
      </c>
      <c r="B397" s="1" t="s">
        <v>1650</v>
      </c>
      <c r="C397" s="4">
        <v>46134.52364583333</v>
      </c>
      <c r="D397" s="1" t="s">
        <v>694</v>
      </c>
      <c r="E397" s="1" t="s">
        <v>1651</v>
      </c>
      <c r="F397" s="3">
        <v>7.030641007E9</v>
      </c>
      <c r="G397" s="1" t="s">
        <v>46</v>
      </c>
      <c r="H397" s="1" t="s">
        <v>152</v>
      </c>
      <c r="I397" s="1" t="s">
        <v>151</v>
      </c>
      <c r="J397" s="1" t="s">
        <v>133</v>
      </c>
    </row>
    <row r="398">
      <c r="A398" s="3">
        <v>89715.0</v>
      </c>
      <c r="B398" s="1" t="s">
        <v>1652</v>
      </c>
      <c r="C398" s="4">
        <v>46134.52369212963</v>
      </c>
      <c r="D398" s="1" t="s">
        <v>690</v>
      </c>
      <c r="E398" s="1" t="s">
        <v>1653</v>
      </c>
      <c r="F398" s="10">
        <v>8.879E10</v>
      </c>
      <c r="G398" s="1" t="s">
        <v>46</v>
      </c>
      <c r="H398" s="1" t="s">
        <v>63</v>
      </c>
      <c r="I398" s="1" t="s">
        <v>97</v>
      </c>
      <c r="J398" s="1" t="s">
        <v>133</v>
      </c>
    </row>
    <row r="399">
      <c r="A399" s="3">
        <v>89716.0</v>
      </c>
      <c r="B399" s="1" t="s">
        <v>1654</v>
      </c>
      <c r="C399" s="4">
        <v>46134.52385416667</v>
      </c>
      <c r="D399" s="1" t="s">
        <v>690</v>
      </c>
      <c r="E399" s="1" t="s">
        <v>1655</v>
      </c>
      <c r="F399" s="3">
        <v>9.381234353E9</v>
      </c>
      <c r="G399" s="1" t="s">
        <v>46</v>
      </c>
      <c r="H399" s="1" t="s">
        <v>746</v>
      </c>
      <c r="I399" s="1" t="s">
        <v>1656</v>
      </c>
      <c r="J399" s="1" t="s">
        <v>133</v>
      </c>
    </row>
    <row r="400">
      <c r="A400" s="3">
        <v>89717.0</v>
      </c>
      <c r="B400" s="1" t="s">
        <v>1657</v>
      </c>
      <c r="C400" s="4">
        <v>46134.52390046296</v>
      </c>
      <c r="D400" s="1" t="s">
        <v>694</v>
      </c>
      <c r="E400" s="1" t="s">
        <v>1658</v>
      </c>
      <c r="F400" s="3">
        <v>8.008878551E9</v>
      </c>
      <c r="G400" s="1" t="s">
        <v>46</v>
      </c>
      <c r="H400" s="1" t="s">
        <v>152</v>
      </c>
      <c r="I400" s="1" t="s">
        <v>151</v>
      </c>
      <c r="J400" s="1" t="s">
        <v>133</v>
      </c>
    </row>
    <row r="401">
      <c r="A401" s="3">
        <v>89718.0</v>
      </c>
      <c r="B401" s="1" t="s">
        <v>1659</v>
      </c>
      <c r="C401" s="4">
        <v>46134.52400462963</v>
      </c>
      <c r="D401" s="1" t="s">
        <v>694</v>
      </c>
      <c r="E401" s="1" t="s">
        <v>1660</v>
      </c>
      <c r="F401" s="3">
        <v>9.711772061E9</v>
      </c>
      <c r="G401" s="1" t="s">
        <v>46</v>
      </c>
      <c r="H401" s="1" t="s">
        <v>53</v>
      </c>
      <c r="I401" s="1" t="s">
        <v>367</v>
      </c>
      <c r="J401" s="1" t="s">
        <v>133</v>
      </c>
    </row>
    <row r="402">
      <c r="A402" s="3">
        <v>89719.0</v>
      </c>
      <c r="B402" s="1" t="s">
        <v>363</v>
      </c>
      <c r="C402" s="4">
        <v>46134.52402777778</v>
      </c>
      <c r="D402" s="1" t="s">
        <v>694</v>
      </c>
      <c r="E402" s="1" t="s">
        <v>364</v>
      </c>
      <c r="F402" s="3">
        <v>8.971220074E9</v>
      </c>
      <c r="G402" s="1" t="s">
        <v>46</v>
      </c>
      <c r="H402" s="1" t="s">
        <v>152</v>
      </c>
      <c r="I402" s="1" t="s">
        <v>151</v>
      </c>
      <c r="J402" s="1" t="s">
        <v>133</v>
      </c>
    </row>
    <row r="403">
      <c r="A403" s="3">
        <v>89720.0</v>
      </c>
      <c r="B403" s="1" t="s">
        <v>1661</v>
      </c>
      <c r="C403" s="4">
        <v>46134.52427083333</v>
      </c>
      <c r="D403" s="1" t="s">
        <v>690</v>
      </c>
      <c r="E403" s="1" t="s">
        <v>1662</v>
      </c>
      <c r="F403" s="3">
        <v>9.964656542E9</v>
      </c>
      <c r="G403" s="1" t="s">
        <v>46</v>
      </c>
      <c r="H403" s="1" t="s">
        <v>152</v>
      </c>
      <c r="I403" s="1" t="s">
        <v>151</v>
      </c>
      <c r="J403" s="1" t="s">
        <v>133</v>
      </c>
    </row>
    <row r="404">
      <c r="A404" s="3">
        <v>89721.0</v>
      </c>
      <c r="B404" s="1" t="s">
        <v>1663</v>
      </c>
      <c r="C404" s="4">
        <v>46134.5243287037</v>
      </c>
      <c r="D404" s="1" t="s">
        <v>694</v>
      </c>
      <c r="E404" s="1" t="s">
        <v>1664</v>
      </c>
      <c r="F404" s="3">
        <v>9.440703508E9</v>
      </c>
      <c r="G404" s="1" t="s">
        <v>46</v>
      </c>
      <c r="H404" s="1" t="s">
        <v>746</v>
      </c>
      <c r="I404" s="1" t="s">
        <v>1150</v>
      </c>
      <c r="J404" s="1" t="s">
        <v>133</v>
      </c>
    </row>
    <row r="405">
      <c r="A405" s="3">
        <v>89722.0</v>
      </c>
      <c r="B405" s="1" t="s">
        <v>1665</v>
      </c>
      <c r="C405" s="4">
        <v>46134.52505787037</v>
      </c>
      <c r="D405" s="1" t="s">
        <v>690</v>
      </c>
      <c r="E405" s="1" t="s">
        <v>1666</v>
      </c>
      <c r="F405" s="3">
        <v>9.619830382E9</v>
      </c>
      <c r="G405" s="1" t="s">
        <v>46</v>
      </c>
      <c r="H405" s="1" t="s">
        <v>63</v>
      </c>
      <c r="I405" s="1" t="s">
        <v>85</v>
      </c>
      <c r="J405" s="1" t="s">
        <v>133</v>
      </c>
    </row>
    <row r="406">
      <c r="A406" s="3">
        <v>89723.0</v>
      </c>
      <c r="B406" s="1" t="s">
        <v>1667</v>
      </c>
      <c r="C406" s="4">
        <v>46134.525092592594</v>
      </c>
      <c r="D406" s="1" t="s">
        <v>690</v>
      </c>
      <c r="E406" s="1" t="s">
        <v>1668</v>
      </c>
      <c r="F406" s="3">
        <v>9.965164406E9</v>
      </c>
      <c r="G406" s="1" t="s">
        <v>46</v>
      </c>
      <c r="H406" s="1" t="s">
        <v>118</v>
      </c>
      <c r="I406" s="1" t="s">
        <v>1669</v>
      </c>
      <c r="J406" s="1" t="s">
        <v>133</v>
      </c>
    </row>
    <row r="407">
      <c r="A407" s="3">
        <v>89724.0</v>
      </c>
      <c r="B407" s="1" t="s">
        <v>1670</v>
      </c>
      <c r="C407" s="4">
        <v>46134.52513888889</v>
      </c>
      <c r="D407" s="1" t="s">
        <v>690</v>
      </c>
      <c r="E407" s="1" t="s">
        <v>1671</v>
      </c>
      <c r="F407" s="3">
        <v>9.686370542E9</v>
      </c>
      <c r="G407" s="1" t="s">
        <v>46</v>
      </c>
      <c r="H407" s="1" t="s">
        <v>152</v>
      </c>
      <c r="I407" s="1" t="s">
        <v>151</v>
      </c>
      <c r="J407" s="1" t="s">
        <v>133</v>
      </c>
    </row>
    <row r="408">
      <c r="A408" s="3">
        <v>89725.0</v>
      </c>
      <c r="B408" s="1" t="s">
        <v>1672</v>
      </c>
      <c r="C408" s="4">
        <v>46134.52574074074</v>
      </c>
      <c r="D408" s="1" t="s">
        <v>690</v>
      </c>
      <c r="E408" s="1" t="s">
        <v>1673</v>
      </c>
      <c r="F408" s="3">
        <v>9.688191976E9</v>
      </c>
      <c r="G408" s="1" t="s">
        <v>46</v>
      </c>
      <c r="H408" s="1" t="s">
        <v>152</v>
      </c>
      <c r="I408" s="1" t="s">
        <v>151</v>
      </c>
      <c r="J408" s="1" t="s">
        <v>133</v>
      </c>
    </row>
    <row r="409">
      <c r="A409" s="3">
        <v>89726.0</v>
      </c>
      <c r="B409" s="1" t="s">
        <v>541</v>
      </c>
      <c r="C409" s="4">
        <v>46134.526550925926</v>
      </c>
      <c r="D409" s="1" t="s">
        <v>690</v>
      </c>
      <c r="E409" s="1" t="s">
        <v>543</v>
      </c>
      <c r="F409" s="3">
        <v>9.730255655E9</v>
      </c>
      <c r="G409" s="1" t="s">
        <v>46</v>
      </c>
      <c r="H409" s="1" t="s">
        <v>63</v>
      </c>
      <c r="I409" s="1" t="s">
        <v>97</v>
      </c>
      <c r="J409" s="1" t="s">
        <v>133</v>
      </c>
    </row>
    <row r="410">
      <c r="A410" s="3">
        <v>89727.0</v>
      </c>
      <c r="B410" s="1" t="s">
        <v>395</v>
      </c>
      <c r="C410" s="4">
        <v>46134.52737268519</v>
      </c>
      <c r="D410" s="1" t="s">
        <v>690</v>
      </c>
      <c r="E410" s="1" t="s">
        <v>397</v>
      </c>
      <c r="F410" s="3">
        <v>9.642326664E9</v>
      </c>
      <c r="G410" s="1" t="s">
        <v>46</v>
      </c>
      <c r="H410" s="1" t="s">
        <v>104</v>
      </c>
      <c r="I410" s="1" t="s">
        <v>103</v>
      </c>
      <c r="J410" s="1" t="s">
        <v>133</v>
      </c>
    </row>
    <row r="411">
      <c r="A411" s="3">
        <v>89728.0</v>
      </c>
      <c r="B411" s="1" t="s">
        <v>320</v>
      </c>
      <c r="C411" s="4">
        <v>46134.52851851852</v>
      </c>
      <c r="D411" s="1" t="s">
        <v>690</v>
      </c>
      <c r="E411" s="1" t="s">
        <v>322</v>
      </c>
      <c r="F411" s="3">
        <v>9.818607626E9</v>
      </c>
      <c r="G411" s="1" t="s">
        <v>46</v>
      </c>
      <c r="H411" s="1" t="s">
        <v>63</v>
      </c>
      <c r="I411" s="1" t="s">
        <v>85</v>
      </c>
      <c r="J411" s="1" t="s">
        <v>133</v>
      </c>
    </row>
    <row r="412">
      <c r="A412" s="3">
        <v>89729.0</v>
      </c>
      <c r="B412" s="1" t="s">
        <v>1674</v>
      </c>
      <c r="C412" s="4">
        <v>46134.52952546296</v>
      </c>
      <c r="D412" s="1" t="s">
        <v>690</v>
      </c>
      <c r="E412" s="1" t="s">
        <v>1675</v>
      </c>
      <c r="F412" s="3">
        <v>9.337260602E9</v>
      </c>
      <c r="G412" s="1" t="s">
        <v>46</v>
      </c>
      <c r="H412" s="1" t="s">
        <v>152</v>
      </c>
      <c r="I412" s="1" t="s">
        <v>151</v>
      </c>
      <c r="J412" s="1" t="s">
        <v>133</v>
      </c>
    </row>
    <row r="413">
      <c r="A413" s="3">
        <v>89730.0</v>
      </c>
      <c r="B413" s="1" t="s">
        <v>1676</v>
      </c>
      <c r="C413" s="4">
        <v>46134.52979166667</v>
      </c>
      <c r="D413" s="1" t="s">
        <v>690</v>
      </c>
      <c r="E413" s="1" t="s">
        <v>1677</v>
      </c>
      <c r="F413" s="3">
        <v>9.986302508E9</v>
      </c>
      <c r="G413" s="1" t="s">
        <v>46</v>
      </c>
      <c r="H413" s="1" t="s">
        <v>152</v>
      </c>
      <c r="I413" s="1" t="s">
        <v>151</v>
      </c>
      <c r="J413" s="1" t="s">
        <v>133</v>
      </c>
    </row>
    <row r="414">
      <c r="A414" s="3">
        <v>89731.0</v>
      </c>
      <c r="B414" s="1" t="s">
        <v>1678</v>
      </c>
      <c r="C414" s="4">
        <v>46134.529965277776</v>
      </c>
      <c r="D414" s="1" t="s">
        <v>690</v>
      </c>
      <c r="E414" s="1" t="s">
        <v>1679</v>
      </c>
      <c r="F414" s="3">
        <v>7.888734768E9</v>
      </c>
      <c r="G414" s="1" t="s">
        <v>46</v>
      </c>
      <c r="H414" s="1" t="s">
        <v>124</v>
      </c>
      <c r="I414" s="1" t="s">
        <v>315</v>
      </c>
      <c r="J414" s="1" t="s">
        <v>133</v>
      </c>
    </row>
    <row r="415">
      <c r="A415" s="3">
        <v>89732.0</v>
      </c>
      <c r="B415" s="1" t="s">
        <v>1680</v>
      </c>
      <c r="C415" s="4">
        <v>46134.53021990741</v>
      </c>
      <c r="D415" s="1" t="s">
        <v>694</v>
      </c>
      <c r="E415" s="1" t="s">
        <v>1681</v>
      </c>
      <c r="F415" s="3">
        <v>8.956096295E9</v>
      </c>
      <c r="G415" s="1" t="s">
        <v>46</v>
      </c>
      <c r="H415" s="1" t="s">
        <v>63</v>
      </c>
      <c r="I415" s="1" t="s">
        <v>97</v>
      </c>
      <c r="J415" s="1" t="s">
        <v>1682</v>
      </c>
    </row>
    <row r="416">
      <c r="A416" s="3">
        <v>89733.0</v>
      </c>
      <c r="B416" s="1" t="s">
        <v>1683</v>
      </c>
      <c r="C416" s="4">
        <v>46134.53021990741</v>
      </c>
      <c r="D416" s="1" t="s">
        <v>694</v>
      </c>
      <c r="E416" s="1" t="s">
        <v>1684</v>
      </c>
      <c r="F416" s="3">
        <v>9.140434281E9</v>
      </c>
      <c r="G416" s="1" t="s">
        <v>46</v>
      </c>
      <c r="H416" s="1" t="s">
        <v>53</v>
      </c>
      <c r="I416" s="1" t="s">
        <v>1057</v>
      </c>
      <c r="J416" s="1" t="s">
        <v>133</v>
      </c>
    </row>
    <row r="417">
      <c r="A417" s="3">
        <v>89734.0</v>
      </c>
      <c r="B417" s="1" t="s">
        <v>680</v>
      </c>
      <c r="C417" s="4">
        <v>46134.530324074076</v>
      </c>
      <c r="D417" s="1" t="s">
        <v>690</v>
      </c>
      <c r="E417" s="1" t="s">
        <v>681</v>
      </c>
      <c r="F417" s="3">
        <v>7.56969106E9</v>
      </c>
      <c r="G417" s="1" t="s">
        <v>46</v>
      </c>
      <c r="H417" s="1" t="s">
        <v>104</v>
      </c>
      <c r="I417" s="1" t="s">
        <v>103</v>
      </c>
      <c r="J417" s="1" t="s">
        <v>133</v>
      </c>
    </row>
    <row r="418">
      <c r="A418" s="3">
        <v>89735.0</v>
      </c>
      <c r="B418" s="1" t="s">
        <v>1685</v>
      </c>
      <c r="C418" s="4">
        <v>46134.5303587963</v>
      </c>
      <c r="D418" s="1" t="s">
        <v>694</v>
      </c>
      <c r="E418" s="1" t="s">
        <v>1686</v>
      </c>
      <c r="F418" s="3">
        <v>7.666004393E9</v>
      </c>
      <c r="G418" s="1" t="s">
        <v>46</v>
      </c>
      <c r="H418" s="1" t="s">
        <v>63</v>
      </c>
      <c r="I418" s="1" t="s">
        <v>85</v>
      </c>
      <c r="J418" s="1" t="s">
        <v>133</v>
      </c>
    </row>
    <row r="419">
      <c r="A419" s="3">
        <v>89736.0</v>
      </c>
      <c r="B419" s="1" t="s">
        <v>1687</v>
      </c>
      <c r="C419" s="4">
        <v>46134.530497685184</v>
      </c>
      <c r="D419" s="1" t="s">
        <v>694</v>
      </c>
      <c r="E419" s="1" t="s">
        <v>1688</v>
      </c>
      <c r="F419" s="3">
        <v>9.820441575E9</v>
      </c>
      <c r="G419" s="1" t="s">
        <v>46</v>
      </c>
      <c r="H419" s="1" t="s">
        <v>63</v>
      </c>
      <c r="I419" s="1" t="s">
        <v>85</v>
      </c>
      <c r="J419" s="1" t="s">
        <v>133</v>
      </c>
    </row>
    <row r="420">
      <c r="A420" s="3">
        <v>89737.0</v>
      </c>
      <c r="B420" s="1" t="s">
        <v>1689</v>
      </c>
      <c r="C420" s="4">
        <v>46134.530706018515</v>
      </c>
      <c r="D420" s="1" t="s">
        <v>694</v>
      </c>
      <c r="E420" s="1" t="s">
        <v>1690</v>
      </c>
      <c r="F420" s="3">
        <v>9.717745234E9</v>
      </c>
      <c r="G420" s="1" t="s">
        <v>46</v>
      </c>
      <c r="H420" s="1" t="s">
        <v>63</v>
      </c>
      <c r="I420" s="1" t="s">
        <v>85</v>
      </c>
      <c r="J420" s="1" t="s">
        <v>133</v>
      </c>
    </row>
    <row r="421">
      <c r="A421" s="3">
        <v>89738.0</v>
      </c>
      <c r="B421" s="1" t="s">
        <v>1691</v>
      </c>
      <c r="C421" s="4">
        <v>46134.53083333333</v>
      </c>
      <c r="D421" s="1" t="s">
        <v>690</v>
      </c>
      <c r="E421" s="1" t="s">
        <v>1692</v>
      </c>
      <c r="F421" s="3">
        <v>9.883979229E9</v>
      </c>
      <c r="G421" s="1" t="s">
        <v>46</v>
      </c>
      <c r="H421" s="1" t="s">
        <v>152</v>
      </c>
      <c r="I421" s="1" t="s">
        <v>151</v>
      </c>
      <c r="J421" s="1" t="s">
        <v>133</v>
      </c>
    </row>
    <row r="422">
      <c r="A422" s="3">
        <v>89739.0</v>
      </c>
      <c r="B422" s="1" t="s">
        <v>270</v>
      </c>
      <c r="C422" s="4">
        <v>46134.53083333333</v>
      </c>
      <c r="D422" s="1" t="s">
        <v>694</v>
      </c>
      <c r="E422" s="1" t="s">
        <v>272</v>
      </c>
      <c r="F422" s="3">
        <v>8.976430018E9</v>
      </c>
      <c r="G422" s="1" t="s">
        <v>46</v>
      </c>
      <c r="H422" s="1" t="s">
        <v>63</v>
      </c>
      <c r="I422" s="1" t="s">
        <v>97</v>
      </c>
      <c r="J422" s="1" t="s">
        <v>133</v>
      </c>
    </row>
    <row r="423">
      <c r="A423" s="3">
        <v>89740.0</v>
      </c>
      <c r="B423" s="1" t="s">
        <v>1693</v>
      </c>
      <c r="C423" s="4">
        <v>46134.530856481484</v>
      </c>
      <c r="D423" s="1" t="s">
        <v>694</v>
      </c>
      <c r="E423" s="1" t="s">
        <v>1694</v>
      </c>
      <c r="F423" s="3">
        <v>8.960400018E9</v>
      </c>
      <c r="G423" s="1" t="s">
        <v>46</v>
      </c>
      <c r="H423" s="1" t="s">
        <v>152</v>
      </c>
      <c r="I423" s="1" t="s">
        <v>151</v>
      </c>
      <c r="J423" s="1" t="s">
        <v>133</v>
      </c>
    </row>
    <row r="424">
      <c r="A424" s="3">
        <v>89741.0</v>
      </c>
      <c r="B424" s="1" t="s">
        <v>1695</v>
      </c>
      <c r="C424" s="4">
        <v>46134.53125</v>
      </c>
      <c r="D424" s="1" t="s">
        <v>690</v>
      </c>
      <c r="E424" s="1" t="s">
        <v>1696</v>
      </c>
      <c r="F424" s="3">
        <v>9.640469762E9</v>
      </c>
      <c r="G424" s="1" t="s">
        <v>46</v>
      </c>
      <c r="H424" s="1" t="s">
        <v>152</v>
      </c>
      <c r="I424" s="1" t="s">
        <v>1697</v>
      </c>
      <c r="J424" s="1" t="s">
        <v>43</v>
      </c>
    </row>
    <row r="425">
      <c r="A425" s="3">
        <v>89742.0</v>
      </c>
      <c r="B425" s="1" t="s">
        <v>1698</v>
      </c>
      <c r="C425" s="4">
        <v>46134.53126157408</v>
      </c>
      <c r="D425" s="1" t="s">
        <v>690</v>
      </c>
      <c r="E425" s="1" t="s">
        <v>1699</v>
      </c>
      <c r="F425" s="3">
        <v>7.838505977E9</v>
      </c>
      <c r="G425" s="1" t="s">
        <v>46</v>
      </c>
      <c r="H425" s="1" t="s">
        <v>241</v>
      </c>
      <c r="I425" s="1" t="s">
        <v>275</v>
      </c>
      <c r="J425" s="1" t="s">
        <v>133</v>
      </c>
    </row>
    <row r="426">
      <c r="A426" s="3">
        <v>89743.0</v>
      </c>
      <c r="B426" s="1" t="s">
        <v>1700</v>
      </c>
      <c r="C426" s="4">
        <v>46134.53135416667</v>
      </c>
      <c r="D426" s="1" t="s">
        <v>694</v>
      </c>
      <c r="E426" s="1" t="s">
        <v>1701</v>
      </c>
      <c r="F426" s="3">
        <v>8.142228047E9</v>
      </c>
      <c r="G426" s="1" t="s">
        <v>46</v>
      </c>
      <c r="H426" s="1" t="s">
        <v>152</v>
      </c>
      <c r="I426" s="1" t="s">
        <v>151</v>
      </c>
      <c r="J426" s="1" t="s">
        <v>43</v>
      </c>
    </row>
    <row r="427">
      <c r="A427" s="3">
        <v>89744.0</v>
      </c>
      <c r="B427" s="1" t="s">
        <v>1702</v>
      </c>
      <c r="C427" s="4">
        <v>46134.53181712963</v>
      </c>
      <c r="D427" s="1" t="s">
        <v>694</v>
      </c>
      <c r="E427" s="1" t="s">
        <v>1703</v>
      </c>
      <c r="F427" s="3">
        <v>6.200841922E9</v>
      </c>
      <c r="G427" s="1" t="s">
        <v>46</v>
      </c>
      <c r="H427" s="1" t="s">
        <v>152</v>
      </c>
      <c r="I427" s="1" t="s">
        <v>151</v>
      </c>
      <c r="J427" s="1" t="s">
        <v>133</v>
      </c>
    </row>
    <row r="428">
      <c r="A428" s="3">
        <v>89745.0</v>
      </c>
      <c r="B428" s="1" t="s">
        <v>1704</v>
      </c>
      <c r="C428" s="4">
        <v>46134.532002314816</v>
      </c>
      <c r="D428" s="1" t="s">
        <v>694</v>
      </c>
      <c r="E428" s="1" t="s">
        <v>1705</v>
      </c>
      <c r="F428" s="3">
        <v>9.849059555E9</v>
      </c>
      <c r="G428" s="1" t="s">
        <v>46</v>
      </c>
      <c r="H428" s="1" t="s">
        <v>104</v>
      </c>
      <c r="I428" s="1" t="s">
        <v>103</v>
      </c>
      <c r="J428" s="1" t="s">
        <v>133</v>
      </c>
    </row>
    <row r="429">
      <c r="A429" s="3">
        <v>89746.0</v>
      </c>
      <c r="B429" s="1" t="s">
        <v>1706</v>
      </c>
      <c r="C429" s="4">
        <v>46134.53203703704</v>
      </c>
      <c r="D429" s="1" t="s">
        <v>694</v>
      </c>
      <c r="E429" s="1" t="s">
        <v>1707</v>
      </c>
      <c r="F429" s="3">
        <v>7.908879989E9</v>
      </c>
      <c r="G429" s="1" t="s">
        <v>46</v>
      </c>
      <c r="H429" s="1" t="s">
        <v>152</v>
      </c>
      <c r="I429" s="1" t="s">
        <v>151</v>
      </c>
      <c r="J429" s="1" t="s">
        <v>133</v>
      </c>
    </row>
    <row r="430">
      <c r="A430" s="3">
        <v>89747.0</v>
      </c>
      <c r="B430" s="1" t="s">
        <v>1708</v>
      </c>
      <c r="C430" s="4">
        <v>46134.53208333333</v>
      </c>
      <c r="D430" s="1" t="s">
        <v>690</v>
      </c>
      <c r="E430" s="1" t="s">
        <v>1709</v>
      </c>
      <c r="F430" s="3">
        <v>9.791051527E9</v>
      </c>
      <c r="G430" s="1" t="s">
        <v>46</v>
      </c>
      <c r="H430" s="1" t="s">
        <v>152</v>
      </c>
      <c r="I430" s="1" t="s">
        <v>151</v>
      </c>
      <c r="J430" s="1" t="s">
        <v>133</v>
      </c>
    </row>
    <row r="431">
      <c r="A431" s="3">
        <v>89748.0</v>
      </c>
      <c r="B431" s="1" t="s">
        <v>1710</v>
      </c>
      <c r="C431" s="4">
        <v>46134.53212962963</v>
      </c>
      <c r="D431" s="1" t="s">
        <v>690</v>
      </c>
      <c r="E431" s="1" t="s">
        <v>1711</v>
      </c>
      <c r="F431" s="3">
        <v>8.130602082E9</v>
      </c>
      <c r="G431" s="1" t="s">
        <v>46</v>
      </c>
      <c r="H431" s="1" t="s">
        <v>241</v>
      </c>
      <c r="I431" s="1" t="s">
        <v>275</v>
      </c>
      <c r="J431" s="1" t="s">
        <v>133</v>
      </c>
    </row>
    <row r="432">
      <c r="A432" s="3">
        <v>89749.0</v>
      </c>
      <c r="B432" s="1" t="s">
        <v>1712</v>
      </c>
      <c r="C432" s="4">
        <v>46134.53224537037</v>
      </c>
      <c r="D432" s="1" t="s">
        <v>690</v>
      </c>
      <c r="E432" s="1" t="s">
        <v>1713</v>
      </c>
      <c r="F432" s="3">
        <v>8.949507332E9</v>
      </c>
      <c r="G432" s="1" t="s">
        <v>46</v>
      </c>
      <c r="H432" s="1" t="s">
        <v>241</v>
      </c>
      <c r="I432" s="1" t="s">
        <v>275</v>
      </c>
      <c r="J432" s="1" t="s">
        <v>133</v>
      </c>
    </row>
    <row r="433">
      <c r="A433" s="3">
        <v>89750.0</v>
      </c>
      <c r="B433" s="1" t="s">
        <v>1714</v>
      </c>
      <c r="C433" s="4">
        <v>46134.532546296294</v>
      </c>
      <c r="D433" s="1" t="s">
        <v>694</v>
      </c>
      <c r="E433" s="1" t="s">
        <v>1715</v>
      </c>
      <c r="F433" s="3">
        <v>9.164764265E9</v>
      </c>
      <c r="G433" s="1" t="s">
        <v>46</v>
      </c>
      <c r="H433" s="1" t="s">
        <v>104</v>
      </c>
      <c r="I433" s="1" t="s">
        <v>103</v>
      </c>
      <c r="J433" s="1" t="s">
        <v>133</v>
      </c>
    </row>
    <row r="434">
      <c r="A434" s="3">
        <v>89751.0</v>
      </c>
      <c r="B434" s="1" t="s">
        <v>1716</v>
      </c>
      <c r="C434" s="4">
        <v>46134.53289351852</v>
      </c>
      <c r="D434" s="1" t="s">
        <v>694</v>
      </c>
      <c r="E434" s="1" t="s">
        <v>1717</v>
      </c>
      <c r="F434" s="3">
        <v>9.836856447E9</v>
      </c>
      <c r="G434" s="1" t="s">
        <v>46</v>
      </c>
      <c r="H434" s="1" t="s">
        <v>152</v>
      </c>
      <c r="I434" s="1" t="s">
        <v>151</v>
      </c>
      <c r="J434" s="1" t="s">
        <v>133</v>
      </c>
    </row>
    <row r="435">
      <c r="A435" s="3">
        <v>89752.0</v>
      </c>
      <c r="B435" s="1" t="s">
        <v>1718</v>
      </c>
      <c r="C435" s="4">
        <v>46134.53325231482</v>
      </c>
      <c r="D435" s="1" t="s">
        <v>690</v>
      </c>
      <c r="E435" s="1" t="s">
        <v>1719</v>
      </c>
      <c r="F435" s="3">
        <v>7.406931633E9</v>
      </c>
      <c r="G435" s="1" t="s">
        <v>46</v>
      </c>
      <c r="H435" s="1" t="s">
        <v>63</v>
      </c>
      <c r="I435" s="1" t="s">
        <v>97</v>
      </c>
      <c r="J435" s="1" t="s">
        <v>133</v>
      </c>
    </row>
    <row r="436">
      <c r="A436" s="3">
        <v>89753.0</v>
      </c>
      <c r="B436" s="1" t="s">
        <v>1720</v>
      </c>
      <c r="C436" s="4">
        <v>46134.53326388889</v>
      </c>
      <c r="D436" s="1" t="s">
        <v>694</v>
      </c>
      <c r="E436" s="1" t="s">
        <v>1721</v>
      </c>
      <c r="F436" s="3">
        <v>9.651645332E9</v>
      </c>
      <c r="G436" s="1" t="s">
        <v>46</v>
      </c>
      <c r="H436" s="1" t="s">
        <v>152</v>
      </c>
      <c r="I436" s="1" t="s">
        <v>151</v>
      </c>
      <c r="J436" s="1" t="s">
        <v>133</v>
      </c>
    </row>
    <row r="437">
      <c r="A437" s="3">
        <v>89754.0</v>
      </c>
      <c r="B437" s="1" t="s">
        <v>1722</v>
      </c>
      <c r="C437" s="4">
        <v>46134.53335648148</v>
      </c>
      <c r="D437" s="1" t="s">
        <v>694</v>
      </c>
      <c r="E437" s="1" t="s">
        <v>1723</v>
      </c>
      <c r="F437" s="3">
        <v>7.015857675E9</v>
      </c>
      <c r="G437" s="1" t="s">
        <v>46</v>
      </c>
      <c r="H437" s="1" t="s">
        <v>124</v>
      </c>
      <c r="I437" s="1" t="s">
        <v>123</v>
      </c>
      <c r="J437" s="1" t="s">
        <v>133</v>
      </c>
    </row>
    <row r="438">
      <c r="A438" s="3">
        <v>89755.0</v>
      </c>
      <c r="B438" s="1" t="s">
        <v>1724</v>
      </c>
      <c r="C438" s="4">
        <v>46134.53341435185</v>
      </c>
      <c r="D438" s="1" t="s">
        <v>690</v>
      </c>
      <c r="E438" s="1" t="s">
        <v>1725</v>
      </c>
      <c r="F438" s="3">
        <v>8.237223719E9</v>
      </c>
      <c r="G438" s="1" t="s">
        <v>46</v>
      </c>
      <c r="H438" s="1" t="s">
        <v>63</v>
      </c>
      <c r="I438" s="1" t="s">
        <v>97</v>
      </c>
      <c r="J438" s="1" t="s">
        <v>133</v>
      </c>
    </row>
    <row r="439">
      <c r="A439" s="3">
        <v>89756.0</v>
      </c>
      <c r="B439" s="1" t="s">
        <v>1726</v>
      </c>
      <c r="C439" s="4">
        <v>46134.53359953704</v>
      </c>
      <c r="D439" s="1" t="s">
        <v>694</v>
      </c>
      <c r="E439" s="1" t="s">
        <v>1727</v>
      </c>
      <c r="F439" s="3">
        <v>9.619413489E9</v>
      </c>
      <c r="G439" s="1" t="s">
        <v>46</v>
      </c>
      <c r="H439" s="1" t="s">
        <v>63</v>
      </c>
      <c r="I439" s="1" t="s">
        <v>85</v>
      </c>
      <c r="J439" s="1" t="s">
        <v>133</v>
      </c>
    </row>
    <row r="440">
      <c r="A440" s="3">
        <v>89757.0</v>
      </c>
      <c r="B440" s="1" t="s">
        <v>1728</v>
      </c>
      <c r="C440" s="4">
        <v>46134.53371527778</v>
      </c>
      <c r="D440" s="1" t="s">
        <v>690</v>
      </c>
      <c r="E440" s="1" t="s">
        <v>1729</v>
      </c>
      <c r="F440" s="3">
        <v>9.61908179E9</v>
      </c>
      <c r="G440" s="1" t="s">
        <v>46</v>
      </c>
      <c r="H440" s="1" t="s">
        <v>152</v>
      </c>
      <c r="I440" s="1" t="s">
        <v>151</v>
      </c>
      <c r="J440" s="1" t="s">
        <v>133</v>
      </c>
    </row>
    <row r="441">
      <c r="A441" s="3">
        <v>89758.0</v>
      </c>
      <c r="B441" s="1" t="s">
        <v>1730</v>
      </c>
      <c r="C441" s="4">
        <v>46134.53445601852</v>
      </c>
      <c r="D441" s="1" t="s">
        <v>694</v>
      </c>
      <c r="E441" s="1" t="s">
        <v>1731</v>
      </c>
      <c r="F441" s="3">
        <v>8.470945419E9</v>
      </c>
      <c r="G441" s="1" t="s">
        <v>46</v>
      </c>
      <c r="H441" s="1" t="s">
        <v>63</v>
      </c>
      <c r="I441" s="1" t="s">
        <v>97</v>
      </c>
      <c r="J441" s="1" t="s">
        <v>133</v>
      </c>
    </row>
    <row r="442">
      <c r="A442" s="3">
        <v>89759.0</v>
      </c>
      <c r="B442" s="1" t="s">
        <v>1732</v>
      </c>
      <c r="C442" s="4">
        <v>46134.53454861111</v>
      </c>
      <c r="D442" s="1" t="s">
        <v>694</v>
      </c>
      <c r="E442" s="1" t="s">
        <v>1733</v>
      </c>
      <c r="F442" s="3">
        <v>9.487329367E9</v>
      </c>
      <c r="G442" s="1" t="s">
        <v>46</v>
      </c>
      <c r="H442" s="1" t="s">
        <v>152</v>
      </c>
      <c r="I442" s="1" t="s">
        <v>151</v>
      </c>
      <c r="J442" s="1" t="s">
        <v>133</v>
      </c>
    </row>
    <row r="443">
      <c r="A443" s="3">
        <v>89760.0</v>
      </c>
      <c r="B443" s="1" t="s">
        <v>1734</v>
      </c>
      <c r="C443" s="4">
        <v>46134.53467592593</v>
      </c>
      <c r="D443" s="1" t="s">
        <v>690</v>
      </c>
      <c r="E443" s="1" t="s">
        <v>1735</v>
      </c>
      <c r="F443" s="3">
        <v>9.791062359E9</v>
      </c>
      <c r="G443" s="1" t="s">
        <v>46</v>
      </c>
      <c r="H443" s="1" t="s">
        <v>104</v>
      </c>
      <c r="I443" s="1" t="s">
        <v>103</v>
      </c>
      <c r="J443" s="1" t="s">
        <v>133</v>
      </c>
    </row>
    <row r="444">
      <c r="A444" s="3">
        <v>89761.0</v>
      </c>
      <c r="B444" s="1" t="s">
        <v>1736</v>
      </c>
      <c r="C444" s="4">
        <v>46134.53467592593</v>
      </c>
      <c r="D444" s="1" t="s">
        <v>694</v>
      </c>
      <c r="E444" s="1" t="s">
        <v>1737</v>
      </c>
      <c r="F444" s="3">
        <v>7.834854514E9</v>
      </c>
      <c r="G444" s="1" t="s">
        <v>46</v>
      </c>
      <c r="H444" s="1" t="s">
        <v>152</v>
      </c>
      <c r="I444" s="1" t="s">
        <v>151</v>
      </c>
      <c r="J444" s="1" t="s">
        <v>133</v>
      </c>
    </row>
    <row r="445">
      <c r="A445" s="3">
        <v>89762.0</v>
      </c>
      <c r="B445" s="1" t="s">
        <v>1738</v>
      </c>
      <c r="C445" s="4">
        <v>46134.53471064815</v>
      </c>
      <c r="D445" s="1" t="s">
        <v>690</v>
      </c>
      <c r="E445" s="1" t="s">
        <v>1739</v>
      </c>
      <c r="F445" s="3">
        <v>7.904065596E9</v>
      </c>
      <c r="G445" s="1" t="s">
        <v>46</v>
      </c>
      <c r="H445" s="1" t="s">
        <v>118</v>
      </c>
      <c r="I445" s="1" t="s">
        <v>1740</v>
      </c>
      <c r="J445" s="1" t="s">
        <v>133</v>
      </c>
    </row>
    <row r="446">
      <c r="A446" s="3">
        <v>89763.0</v>
      </c>
      <c r="B446" s="1" t="s">
        <v>1741</v>
      </c>
      <c r="C446" s="4">
        <v>46134.534849537034</v>
      </c>
      <c r="D446" s="1" t="s">
        <v>694</v>
      </c>
      <c r="E446" s="1" t="s">
        <v>1742</v>
      </c>
      <c r="F446" s="3">
        <v>8.879698655E9</v>
      </c>
      <c r="G446" s="1" t="s">
        <v>46</v>
      </c>
      <c r="H446" s="1" t="s">
        <v>63</v>
      </c>
      <c r="I446" s="1" t="s">
        <v>85</v>
      </c>
      <c r="J446" s="1" t="s">
        <v>133</v>
      </c>
    </row>
    <row r="447">
      <c r="A447" s="3">
        <v>89764.0</v>
      </c>
      <c r="B447" s="1" t="s">
        <v>1743</v>
      </c>
      <c r="C447" s="4">
        <v>46134.53512731481</v>
      </c>
      <c r="D447" s="1" t="s">
        <v>694</v>
      </c>
      <c r="E447" s="1" t="s">
        <v>1744</v>
      </c>
      <c r="F447" s="3">
        <v>9.874942277E9</v>
      </c>
      <c r="G447" s="1" t="s">
        <v>46</v>
      </c>
      <c r="H447" s="1" t="s">
        <v>104</v>
      </c>
      <c r="I447" s="1" t="s">
        <v>103</v>
      </c>
      <c r="J447" s="1" t="s">
        <v>133</v>
      </c>
    </row>
    <row r="448">
      <c r="A448" s="3">
        <v>89765.0</v>
      </c>
      <c r="B448" s="1" t="s">
        <v>1745</v>
      </c>
      <c r="C448" s="4">
        <v>46134.535358796296</v>
      </c>
      <c r="D448" s="1" t="s">
        <v>690</v>
      </c>
      <c r="E448" s="1" t="s">
        <v>1746</v>
      </c>
      <c r="F448" s="3">
        <v>9.071283337E9</v>
      </c>
      <c r="G448" s="1" t="s">
        <v>46</v>
      </c>
      <c r="H448" s="1" t="s">
        <v>104</v>
      </c>
      <c r="I448" s="1" t="s">
        <v>103</v>
      </c>
      <c r="J448" s="1" t="s">
        <v>43</v>
      </c>
    </row>
    <row r="449">
      <c r="A449" s="3">
        <v>89766.0</v>
      </c>
      <c r="B449" s="1" t="s">
        <v>1747</v>
      </c>
      <c r="C449" s="4">
        <v>46134.53537037037</v>
      </c>
      <c r="D449" s="1" t="s">
        <v>694</v>
      </c>
      <c r="E449" s="7"/>
      <c r="F449" s="7"/>
      <c r="G449" s="1" t="s">
        <v>46</v>
      </c>
      <c r="H449" s="1" t="s">
        <v>152</v>
      </c>
      <c r="I449" s="1" t="s">
        <v>151</v>
      </c>
      <c r="J449" s="1" t="s">
        <v>133</v>
      </c>
    </row>
    <row r="450">
      <c r="A450" s="3">
        <v>89767.0</v>
      </c>
      <c r="B450" s="1" t="s">
        <v>1748</v>
      </c>
      <c r="C450" s="4">
        <v>46134.535416666666</v>
      </c>
      <c r="D450" s="1" t="s">
        <v>690</v>
      </c>
      <c r="E450" s="1" t="s">
        <v>1749</v>
      </c>
      <c r="F450" s="3">
        <v>7.054786164E9</v>
      </c>
      <c r="G450" s="1" t="s">
        <v>46</v>
      </c>
      <c r="H450" s="1" t="s">
        <v>152</v>
      </c>
      <c r="I450" s="1" t="s">
        <v>151</v>
      </c>
      <c r="J450" s="1" t="s">
        <v>133</v>
      </c>
    </row>
    <row r="451">
      <c r="A451" s="3">
        <v>89768.0</v>
      </c>
      <c r="B451" s="1" t="s">
        <v>1750</v>
      </c>
      <c r="C451" s="4">
        <v>46134.53575231481</v>
      </c>
      <c r="D451" s="1" t="s">
        <v>694</v>
      </c>
      <c r="E451" s="7"/>
      <c r="F451" s="7"/>
      <c r="G451" s="1" t="s">
        <v>46</v>
      </c>
      <c r="H451" s="1" t="s">
        <v>152</v>
      </c>
      <c r="I451" s="1" t="s">
        <v>950</v>
      </c>
      <c r="J451" s="1" t="s">
        <v>43</v>
      </c>
    </row>
    <row r="452">
      <c r="A452" s="3">
        <v>89769.0</v>
      </c>
      <c r="B452" s="1" t="s">
        <v>132</v>
      </c>
      <c r="C452" s="4">
        <v>46134.5359837963</v>
      </c>
      <c r="D452" s="1" t="s">
        <v>690</v>
      </c>
      <c r="E452" s="1" t="s">
        <v>135</v>
      </c>
      <c r="F452" s="3">
        <v>7.97759294E9</v>
      </c>
      <c r="G452" s="1" t="s">
        <v>46</v>
      </c>
      <c r="H452" s="1" t="s">
        <v>63</v>
      </c>
      <c r="I452" s="1" t="s">
        <v>85</v>
      </c>
      <c r="J452" s="1" t="s">
        <v>133</v>
      </c>
    </row>
    <row r="453">
      <c r="A453" s="3">
        <v>89770.0</v>
      </c>
      <c r="B453" s="1" t="s">
        <v>1751</v>
      </c>
      <c r="C453" s="4">
        <v>46134.53607638889</v>
      </c>
      <c r="D453" s="1" t="s">
        <v>694</v>
      </c>
      <c r="E453" s="1" t="s">
        <v>1752</v>
      </c>
      <c r="F453" s="3">
        <v>9.654962078E9</v>
      </c>
      <c r="G453" s="1" t="s">
        <v>46</v>
      </c>
      <c r="H453" s="1" t="s">
        <v>124</v>
      </c>
      <c r="I453" s="1" t="s">
        <v>315</v>
      </c>
      <c r="J453" s="7"/>
      <c r="K453" s="7"/>
    </row>
    <row r="454">
      <c r="A454" s="3">
        <v>89771.0</v>
      </c>
      <c r="B454" s="1" t="s">
        <v>1753</v>
      </c>
      <c r="C454" s="4">
        <v>46134.53642361111</v>
      </c>
      <c r="D454" s="1" t="s">
        <v>694</v>
      </c>
      <c r="E454" s="1" t="s">
        <v>1754</v>
      </c>
      <c r="F454" s="3">
        <v>8.826595894E9</v>
      </c>
      <c r="G454" s="1" t="s">
        <v>46</v>
      </c>
      <c r="H454" s="1" t="s">
        <v>241</v>
      </c>
      <c r="I454" s="1" t="s">
        <v>275</v>
      </c>
      <c r="J454" s="1" t="s">
        <v>133</v>
      </c>
    </row>
    <row r="455">
      <c r="A455" s="3">
        <v>89772.0</v>
      </c>
      <c r="B455" s="1" t="s">
        <v>425</v>
      </c>
      <c r="C455" s="4">
        <v>46134.536516203705</v>
      </c>
      <c r="D455" s="1" t="s">
        <v>694</v>
      </c>
      <c r="E455" s="1" t="s">
        <v>427</v>
      </c>
      <c r="F455" s="3">
        <v>8.757000154E9</v>
      </c>
      <c r="G455" s="1" t="s">
        <v>46</v>
      </c>
      <c r="H455" s="1" t="s">
        <v>148</v>
      </c>
      <c r="I455" s="1" t="s">
        <v>422</v>
      </c>
      <c r="J455" s="1" t="s">
        <v>133</v>
      </c>
    </row>
    <row r="456">
      <c r="A456" s="3">
        <v>89773.0</v>
      </c>
      <c r="B456" s="1" t="s">
        <v>244</v>
      </c>
      <c r="C456" s="4">
        <v>46134.537094907406</v>
      </c>
      <c r="D456" s="1" t="s">
        <v>690</v>
      </c>
      <c r="E456" s="1" t="s">
        <v>246</v>
      </c>
      <c r="F456" s="3">
        <v>9.73032538E9</v>
      </c>
      <c r="G456" s="1" t="s">
        <v>46</v>
      </c>
      <c r="H456" s="1" t="s">
        <v>63</v>
      </c>
      <c r="I456" s="1" t="s">
        <v>85</v>
      </c>
      <c r="J456" s="1" t="s">
        <v>133</v>
      </c>
    </row>
    <row r="457">
      <c r="A457" s="3">
        <v>89774.0</v>
      </c>
      <c r="B457" s="1" t="s">
        <v>347</v>
      </c>
      <c r="C457" s="4">
        <v>46134.53733796296</v>
      </c>
      <c r="D457" s="1" t="s">
        <v>694</v>
      </c>
      <c r="E457" s="1" t="s">
        <v>349</v>
      </c>
      <c r="F457" s="3">
        <v>9.079623544E9</v>
      </c>
      <c r="G457" s="1" t="s">
        <v>46</v>
      </c>
      <c r="H457" s="1" t="s">
        <v>152</v>
      </c>
      <c r="I457" s="1" t="s">
        <v>151</v>
      </c>
      <c r="J457" s="1" t="s">
        <v>133</v>
      </c>
    </row>
    <row r="458">
      <c r="A458" s="3">
        <v>89775.0</v>
      </c>
      <c r="B458" s="1" t="s">
        <v>1755</v>
      </c>
      <c r="C458" s="4">
        <v>46134.538194444445</v>
      </c>
      <c r="D458" s="1" t="s">
        <v>694</v>
      </c>
      <c r="E458" s="1" t="s">
        <v>1756</v>
      </c>
      <c r="F458" s="3">
        <v>8.123618675E9</v>
      </c>
      <c r="G458" s="1" t="s">
        <v>46</v>
      </c>
      <c r="H458" s="1" t="s">
        <v>152</v>
      </c>
      <c r="I458" s="1" t="s">
        <v>151</v>
      </c>
      <c r="J458" s="1" t="s">
        <v>133</v>
      </c>
    </row>
    <row r="459">
      <c r="A459" s="3">
        <v>89776.0</v>
      </c>
      <c r="B459" s="1" t="s">
        <v>1750</v>
      </c>
      <c r="C459" s="4">
        <v>46134.53890046296</v>
      </c>
      <c r="D459" s="1" t="s">
        <v>694</v>
      </c>
      <c r="E459" s="1" t="s">
        <v>1757</v>
      </c>
      <c r="F459" s="3">
        <v>8.310745243E9</v>
      </c>
      <c r="G459" s="1" t="s">
        <v>46</v>
      </c>
      <c r="H459" s="1" t="s">
        <v>152</v>
      </c>
      <c r="I459" s="1" t="s">
        <v>950</v>
      </c>
      <c r="J459" s="1" t="s">
        <v>133</v>
      </c>
    </row>
    <row r="460">
      <c r="A460" s="3">
        <v>89777.0</v>
      </c>
      <c r="B460" s="1" t="s">
        <v>1758</v>
      </c>
      <c r="C460" s="4">
        <v>46134.53909722222</v>
      </c>
      <c r="D460" s="1" t="s">
        <v>690</v>
      </c>
      <c r="E460" s="1" t="s">
        <v>1759</v>
      </c>
      <c r="F460" s="3">
        <v>9.999168317E9</v>
      </c>
      <c r="G460" s="1" t="s">
        <v>46</v>
      </c>
      <c r="H460" s="1" t="s">
        <v>53</v>
      </c>
      <c r="I460" s="1" t="s">
        <v>611</v>
      </c>
      <c r="J460" s="1" t="s">
        <v>133</v>
      </c>
    </row>
    <row r="461">
      <c r="A461" s="3">
        <v>89778.0</v>
      </c>
      <c r="B461" s="1" t="s">
        <v>1760</v>
      </c>
      <c r="C461" s="4">
        <v>46134.539988425924</v>
      </c>
      <c r="D461" s="1" t="s">
        <v>690</v>
      </c>
      <c r="E461" s="1" t="s">
        <v>1761</v>
      </c>
      <c r="F461" s="3">
        <v>8.080588975E9</v>
      </c>
      <c r="G461" s="1" t="s">
        <v>46</v>
      </c>
      <c r="H461" s="1" t="s">
        <v>152</v>
      </c>
      <c r="I461" s="1" t="s">
        <v>151</v>
      </c>
      <c r="J461" s="1" t="s">
        <v>133</v>
      </c>
    </row>
    <row r="462">
      <c r="A462" s="3">
        <v>89779.0</v>
      </c>
      <c r="B462" s="1" t="s">
        <v>1762</v>
      </c>
      <c r="C462" s="4">
        <v>46134.542129629626</v>
      </c>
      <c r="D462" s="1" t="s">
        <v>694</v>
      </c>
      <c r="E462" s="1" t="s">
        <v>1763</v>
      </c>
      <c r="F462" s="3">
        <v>7.903623368E9</v>
      </c>
      <c r="G462" s="1" t="s">
        <v>46</v>
      </c>
      <c r="H462" s="1" t="s">
        <v>152</v>
      </c>
      <c r="I462" s="1" t="s">
        <v>1764</v>
      </c>
      <c r="J462" s="1" t="s">
        <v>133</v>
      </c>
    </row>
    <row r="463">
      <c r="A463" s="3">
        <v>89780.0</v>
      </c>
      <c r="B463" s="1" t="s">
        <v>1765</v>
      </c>
      <c r="C463" s="4">
        <v>46134.542175925926</v>
      </c>
      <c r="D463" s="1" t="s">
        <v>690</v>
      </c>
      <c r="E463" s="1" t="s">
        <v>1766</v>
      </c>
      <c r="F463" s="3">
        <v>9.010533459E9</v>
      </c>
      <c r="G463" s="1" t="s">
        <v>46</v>
      </c>
      <c r="H463" s="1" t="s">
        <v>63</v>
      </c>
      <c r="I463" s="1" t="s">
        <v>85</v>
      </c>
      <c r="J463" s="1" t="s">
        <v>133</v>
      </c>
    </row>
    <row r="464">
      <c r="A464" s="3">
        <v>89781.0</v>
      </c>
      <c r="B464" s="1" t="s">
        <v>1767</v>
      </c>
      <c r="C464" s="4">
        <v>46134.544699074075</v>
      </c>
      <c r="D464" s="1" t="s">
        <v>694</v>
      </c>
      <c r="E464" s="1" t="s">
        <v>1768</v>
      </c>
      <c r="F464" s="3">
        <v>7.009716517E9</v>
      </c>
      <c r="G464" s="1" t="s">
        <v>46</v>
      </c>
      <c r="H464" s="1" t="s">
        <v>45</v>
      </c>
      <c r="I464" s="1" t="s">
        <v>169</v>
      </c>
      <c r="J464" s="1" t="s">
        <v>133</v>
      </c>
    </row>
    <row r="465">
      <c r="A465" s="3">
        <v>89782.0</v>
      </c>
      <c r="B465" s="1" t="s">
        <v>1769</v>
      </c>
      <c r="C465" s="4">
        <v>46134.54574074074</v>
      </c>
      <c r="D465" s="1" t="s">
        <v>694</v>
      </c>
      <c r="E465" s="1" t="s">
        <v>1770</v>
      </c>
      <c r="F465" s="7" t="str">
        <f>+91 8459130164</f>
        <v>#ERROR!</v>
      </c>
      <c r="G465" s="1" t="s">
        <v>46</v>
      </c>
      <c r="H465" s="1" t="s">
        <v>63</v>
      </c>
      <c r="I465" s="1" t="s">
        <v>97</v>
      </c>
      <c r="J465" s="1" t="s">
        <v>133</v>
      </c>
    </row>
    <row r="466">
      <c r="A466" s="3">
        <v>89783.0</v>
      </c>
      <c r="B466" s="1" t="s">
        <v>1672</v>
      </c>
      <c r="C466" s="4">
        <v>46134.55021990741</v>
      </c>
      <c r="D466" s="1" t="s">
        <v>690</v>
      </c>
      <c r="E466" s="1" t="s">
        <v>1771</v>
      </c>
      <c r="F466" s="3">
        <v>9.688191976E9</v>
      </c>
      <c r="G466" s="1" t="s">
        <v>46</v>
      </c>
      <c r="H466" s="1" t="s">
        <v>152</v>
      </c>
      <c r="I466" s="1" t="s">
        <v>151</v>
      </c>
      <c r="J466" s="1" t="s">
        <v>133</v>
      </c>
    </row>
    <row r="467">
      <c r="A467" s="3">
        <v>89784.0</v>
      </c>
      <c r="B467" s="1" t="s">
        <v>1772</v>
      </c>
      <c r="C467" s="4">
        <v>46134.55186342593</v>
      </c>
      <c r="D467" s="1" t="s">
        <v>694</v>
      </c>
      <c r="E467" s="1" t="s">
        <v>1773</v>
      </c>
      <c r="F467" s="10">
        <v>1.5157E10</v>
      </c>
      <c r="G467" s="1" t="s">
        <v>390</v>
      </c>
      <c r="H467" s="1" t="s">
        <v>1774</v>
      </c>
      <c r="I467" s="1" t="s">
        <v>1775</v>
      </c>
      <c r="J467" s="1" t="s">
        <v>43</v>
      </c>
    </row>
    <row r="468">
      <c r="A468" s="3">
        <v>89785.0</v>
      </c>
      <c r="B468" s="1" t="s">
        <v>1776</v>
      </c>
      <c r="C468" s="4">
        <v>46134.552569444444</v>
      </c>
      <c r="D468" s="1" t="s">
        <v>690</v>
      </c>
      <c r="E468" s="1" t="s">
        <v>1777</v>
      </c>
      <c r="F468" s="3">
        <v>9.831218603E9</v>
      </c>
      <c r="G468" s="1" t="s">
        <v>46</v>
      </c>
      <c r="H468" s="1" t="s">
        <v>63</v>
      </c>
      <c r="I468" s="1" t="s">
        <v>97</v>
      </c>
      <c r="J468" s="1" t="s">
        <v>133</v>
      </c>
    </row>
    <row r="469">
      <c r="A469" s="3">
        <v>89786.0</v>
      </c>
      <c r="B469" s="1" t="s">
        <v>1778</v>
      </c>
      <c r="C469" s="4">
        <v>46134.55384259259</v>
      </c>
      <c r="D469" s="1" t="s">
        <v>690</v>
      </c>
      <c r="E469" s="1" t="s">
        <v>1779</v>
      </c>
      <c r="F469" s="3">
        <v>8.090767628E9</v>
      </c>
      <c r="G469" s="1" t="s">
        <v>46</v>
      </c>
      <c r="H469" s="1" t="s">
        <v>152</v>
      </c>
      <c r="I469" s="1" t="s">
        <v>151</v>
      </c>
      <c r="J469" s="1" t="s">
        <v>133</v>
      </c>
    </row>
    <row r="470">
      <c r="A470" s="3">
        <v>89787.0</v>
      </c>
      <c r="B470" s="1" t="s">
        <v>1780</v>
      </c>
      <c r="C470" s="4">
        <v>46134.56429398148</v>
      </c>
      <c r="D470" s="1" t="s">
        <v>690</v>
      </c>
      <c r="E470" s="1" t="s">
        <v>1781</v>
      </c>
      <c r="F470" s="3">
        <v>7.829329484E9</v>
      </c>
      <c r="G470" s="1" t="s">
        <v>46</v>
      </c>
      <c r="H470" s="1" t="s">
        <v>715</v>
      </c>
      <c r="I470" s="1" t="s">
        <v>716</v>
      </c>
      <c r="J470" s="1" t="s">
        <v>133</v>
      </c>
    </row>
    <row r="471">
      <c r="A471" s="3">
        <v>89788.0</v>
      </c>
      <c r="B471" s="1" t="s">
        <v>1782</v>
      </c>
      <c r="C471" s="4">
        <v>46134.564479166664</v>
      </c>
      <c r="D471" s="1" t="s">
        <v>694</v>
      </c>
      <c r="E471" s="1" t="s">
        <v>1783</v>
      </c>
      <c r="F471" s="3">
        <v>9.558887449E9</v>
      </c>
      <c r="G471" s="1" t="s">
        <v>46</v>
      </c>
      <c r="H471" s="1" t="s">
        <v>198</v>
      </c>
      <c r="I471" s="1" t="s">
        <v>197</v>
      </c>
      <c r="J471" s="1" t="s">
        <v>133</v>
      </c>
    </row>
    <row r="472">
      <c r="A472" s="3">
        <v>89789.0</v>
      </c>
      <c r="B472" s="1" t="s">
        <v>1784</v>
      </c>
      <c r="C472" s="4">
        <v>46134.568460648145</v>
      </c>
      <c r="D472" s="1" t="s">
        <v>694</v>
      </c>
      <c r="E472" s="1" t="s">
        <v>1785</v>
      </c>
      <c r="F472" s="3">
        <v>9.975527153E9</v>
      </c>
      <c r="G472" s="1" t="s">
        <v>46</v>
      </c>
      <c r="H472" s="1" t="s">
        <v>63</v>
      </c>
      <c r="I472" s="1" t="s">
        <v>1786</v>
      </c>
    </row>
    <row r="473">
      <c r="A473" s="3">
        <v>89790.0</v>
      </c>
      <c r="B473" s="1" t="s">
        <v>1787</v>
      </c>
      <c r="C473" s="4">
        <v>46134.56858796296</v>
      </c>
      <c r="D473" s="1" t="s">
        <v>690</v>
      </c>
      <c r="E473" s="1" t="s">
        <v>1788</v>
      </c>
      <c r="F473" s="3">
        <v>9.008102362E9</v>
      </c>
      <c r="G473" s="1" t="s">
        <v>46</v>
      </c>
      <c r="H473" s="1" t="s">
        <v>152</v>
      </c>
      <c r="I473" s="1" t="s">
        <v>151</v>
      </c>
      <c r="J473" s="1" t="s">
        <v>133</v>
      </c>
    </row>
    <row r="474">
      <c r="A474" s="3">
        <v>89791.0</v>
      </c>
      <c r="B474" s="1" t="s">
        <v>1789</v>
      </c>
      <c r="C474" s="4">
        <v>46134.57046296296</v>
      </c>
      <c r="D474" s="1" t="s">
        <v>690</v>
      </c>
      <c r="E474" s="1" t="s">
        <v>1790</v>
      </c>
      <c r="F474" s="3">
        <v>9.096802118E9</v>
      </c>
      <c r="G474" s="1" t="s">
        <v>46</v>
      </c>
      <c r="H474" s="1" t="s">
        <v>63</v>
      </c>
      <c r="I474" s="1" t="s">
        <v>97</v>
      </c>
      <c r="J474" s="1" t="s">
        <v>133</v>
      </c>
    </row>
    <row r="475">
      <c r="A475" s="3">
        <v>89792.0</v>
      </c>
      <c r="B475" s="1" t="s">
        <v>1791</v>
      </c>
      <c r="C475" s="4">
        <v>46134.58346064815</v>
      </c>
      <c r="D475" s="1" t="s">
        <v>690</v>
      </c>
      <c r="E475" s="1" t="s">
        <v>1792</v>
      </c>
      <c r="F475" s="3">
        <v>9.429617837E9</v>
      </c>
      <c r="G475" s="1" t="s">
        <v>46</v>
      </c>
      <c r="H475" s="1" t="s">
        <v>198</v>
      </c>
      <c r="I475" s="1" t="s">
        <v>868</v>
      </c>
      <c r="J475" s="1" t="s">
        <v>133</v>
      </c>
    </row>
    <row r="476">
      <c r="A476" s="3">
        <v>89793.0</v>
      </c>
      <c r="B476" s="1" t="s">
        <v>1793</v>
      </c>
      <c r="C476" s="4">
        <v>46134.59462962963</v>
      </c>
      <c r="D476" s="1" t="s">
        <v>690</v>
      </c>
      <c r="E476" s="1" t="s">
        <v>1794</v>
      </c>
      <c r="F476" s="3">
        <v>8.667032628E9</v>
      </c>
      <c r="G476" s="1" t="s">
        <v>46</v>
      </c>
      <c r="H476" s="1" t="s">
        <v>118</v>
      </c>
      <c r="I476" s="1" t="s">
        <v>473</v>
      </c>
      <c r="J476" s="1" t="s">
        <v>133</v>
      </c>
    </row>
    <row r="477">
      <c r="A477" s="3">
        <v>89794.0</v>
      </c>
      <c r="B477" s="1" t="s">
        <v>1795</v>
      </c>
      <c r="C477" s="4">
        <v>46134.59899305556</v>
      </c>
      <c r="D477" s="1" t="s">
        <v>690</v>
      </c>
      <c r="E477" s="1" t="s">
        <v>1796</v>
      </c>
      <c r="F477" s="3">
        <v>8.982108968E9</v>
      </c>
      <c r="G477" s="1" t="s">
        <v>46</v>
      </c>
      <c r="H477" s="1" t="s">
        <v>63</v>
      </c>
      <c r="I477" s="1" t="s">
        <v>97</v>
      </c>
      <c r="J477" s="7"/>
      <c r="K477" s="7"/>
    </row>
    <row r="478">
      <c r="A478" s="3">
        <v>89795.0</v>
      </c>
      <c r="B478" s="1" t="s">
        <v>500</v>
      </c>
      <c r="C478" s="4">
        <v>46134.60690972222</v>
      </c>
      <c r="D478" s="1" t="s">
        <v>694</v>
      </c>
      <c r="E478" s="1" t="s">
        <v>503</v>
      </c>
      <c r="F478" s="3">
        <v>9.94749336E9</v>
      </c>
      <c r="G478" s="1" t="s">
        <v>46</v>
      </c>
      <c r="H478" s="1" t="s">
        <v>331</v>
      </c>
      <c r="I478" s="1" t="s">
        <v>501</v>
      </c>
      <c r="J478" s="1" t="s">
        <v>133</v>
      </c>
    </row>
    <row r="479">
      <c r="A479" s="3">
        <v>89796.0</v>
      </c>
      <c r="B479" s="1" t="s">
        <v>527</v>
      </c>
      <c r="C479" s="4">
        <v>46134.614953703705</v>
      </c>
      <c r="D479" s="1" t="s">
        <v>690</v>
      </c>
      <c r="E479" s="1" t="s">
        <v>528</v>
      </c>
      <c r="F479" s="3">
        <v>7.684013759E9</v>
      </c>
      <c r="G479" s="1" t="s">
        <v>46</v>
      </c>
      <c r="H479" s="1" t="s">
        <v>63</v>
      </c>
      <c r="I479" s="1" t="s">
        <v>97</v>
      </c>
      <c r="J479" s="1" t="s">
        <v>133</v>
      </c>
    </row>
    <row r="480">
      <c r="A480" s="3">
        <v>89797.0</v>
      </c>
      <c r="B480" s="1" t="s">
        <v>1797</v>
      </c>
      <c r="C480" s="4">
        <v>46134.63413194445</v>
      </c>
      <c r="D480" s="1" t="s">
        <v>690</v>
      </c>
      <c r="E480" s="1" t="s">
        <v>1798</v>
      </c>
      <c r="F480" s="3">
        <v>9.963757303E9</v>
      </c>
      <c r="G480" s="1" t="s">
        <v>46</v>
      </c>
      <c r="H480" s="1" t="s">
        <v>104</v>
      </c>
      <c r="I480" s="1" t="s">
        <v>103</v>
      </c>
      <c r="J480" s="1" t="s">
        <v>133</v>
      </c>
    </row>
    <row r="481">
      <c r="A481" s="3">
        <v>89798.0</v>
      </c>
      <c r="B481" s="1" t="s">
        <v>401</v>
      </c>
      <c r="C481" s="4">
        <v>46134.64569444444</v>
      </c>
      <c r="D481" s="1" t="s">
        <v>690</v>
      </c>
      <c r="E481" s="1" t="s">
        <v>402</v>
      </c>
      <c r="F481" s="3">
        <v>9.811210436E9</v>
      </c>
      <c r="G481" s="1" t="s">
        <v>46</v>
      </c>
      <c r="H481" s="1" t="s">
        <v>241</v>
      </c>
      <c r="I481" s="1" t="s">
        <v>275</v>
      </c>
      <c r="J481" s="1" t="s">
        <v>133</v>
      </c>
    </row>
    <row r="482">
      <c r="A482" s="3">
        <v>89799.0</v>
      </c>
      <c r="B482" s="1" t="s">
        <v>1799</v>
      </c>
      <c r="C482" s="4">
        <v>46134.64666666667</v>
      </c>
      <c r="D482" s="1" t="s">
        <v>694</v>
      </c>
      <c r="E482" s="1" t="s">
        <v>1800</v>
      </c>
      <c r="F482" s="3">
        <v>8.144614028E9</v>
      </c>
      <c r="G482" s="1" t="s">
        <v>46</v>
      </c>
      <c r="H482" s="1" t="s">
        <v>152</v>
      </c>
      <c r="I482" s="1" t="s">
        <v>151</v>
      </c>
      <c r="J482" s="1" t="s">
        <v>133</v>
      </c>
    </row>
    <row r="483">
      <c r="A483" s="3">
        <v>89800.0</v>
      </c>
      <c r="B483" s="1" t="s">
        <v>1801</v>
      </c>
      <c r="C483" s="4">
        <v>46134.64672453704</v>
      </c>
      <c r="D483" s="1" t="s">
        <v>694</v>
      </c>
      <c r="E483" s="1" t="s">
        <v>1802</v>
      </c>
      <c r="F483" s="3">
        <v>7.302777706E9</v>
      </c>
      <c r="G483" s="1" t="s">
        <v>46</v>
      </c>
      <c r="H483" s="1" t="s">
        <v>152</v>
      </c>
      <c r="I483" s="1" t="s">
        <v>151</v>
      </c>
      <c r="J483" s="1" t="s">
        <v>133</v>
      </c>
    </row>
    <row r="484">
      <c r="A484" s="3">
        <v>89801.0</v>
      </c>
      <c r="B484" s="1" t="s">
        <v>1803</v>
      </c>
      <c r="C484" s="4">
        <v>46134.6541087963</v>
      </c>
      <c r="D484" s="1" t="s">
        <v>694</v>
      </c>
      <c r="E484" s="1" t="s">
        <v>1804</v>
      </c>
      <c r="F484" s="3">
        <v>9.869386629E9</v>
      </c>
      <c r="G484" s="1" t="s">
        <v>46</v>
      </c>
      <c r="H484" s="1" t="s">
        <v>63</v>
      </c>
      <c r="I484" s="1" t="s">
        <v>1805</v>
      </c>
      <c r="J484" s="1" t="s">
        <v>133</v>
      </c>
    </row>
    <row r="485">
      <c r="A485" s="3">
        <v>89802.0</v>
      </c>
      <c r="B485" s="1" t="s">
        <v>371</v>
      </c>
      <c r="C485" s="4">
        <v>46134.654131944444</v>
      </c>
      <c r="D485" s="1" t="s">
        <v>694</v>
      </c>
      <c r="E485" s="1" t="s">
        <v>372</v>
      </c>
      <c r="F485" s="3">
        <v>9.983094884E9</v>
      </c>
      <c r="G485" s="1" t="s">
        <v>46</v>
      </c>
      <c r="H485" s="1" t="s">
        <v>63</v>
      </c>
      <c r="I485" s="1" t="s">
        <v>97</v>
      </c>
      <c r="J485" s="1" t="s">
        <v>133</v>
      </c>
    </row>
    <row r="486">
      <c r="A486" s="3">
        <v>89803.0</v>
      </c>
      <c r="B486" s="1" t="s">
        <v>1806</v>
      </c>
      <c r="C486" s="4">
        <v>46134.66380787037</v>
      </c>
      <c r="D486" s="1" t="s">
        <v>694</v>
      </c>
      <c r="E486" s="1" t="s">
        <v>1807</v>
      </c>
      <c r="F486" s="3">
        <v>8.960072451E9</v>
      </c>
      <c r="G486" s="1" t="s">
        <v>46</v>
      </c>
      <c r="H486" s="1" t="s">
        <v>152</v>
      </c>
      <c r="I486" s="1" t="s">
        <v>151</v>
      </c>
      <c r="J486" s="1" t="s">
        <v>133</v>
      </c>
    </row>
    <row r="487">
      <c r="A487" s="3">
        <v>89804.0</v>
      </c>
      <c r="B487" s="1" t="s">
        <v>1808</v>
      </c>
      <c r="C487" s="4">
        <v>46134.666979166665</v>
      </c>
      <c r="D487" s="1" t="s">
        <v>690</v>
      </c>
      <c r="E487" s="1" t="s">
        <v>1809</v>
      </c>
      <c r="F487" s="3">
        <v>8.073804232E9</v>
      </c>
      <c r="G487" s="1" t="s">
        <v>46</v>
      </c>
      <c r="H487" s="1" t="s">
        <v>152</v>
      </c>
      <c r="I487" s="1" t="s">
        <v>151</v>
      </c>
      <c r="J487" s="1" t="s">
        <v>133</v>
      </c>
    </row>
    <row r="488">
      <c r="A488" s="3">
        <v>89805.0</v>
      </c>
      <c r="B488" s="1" t="s">
        <v>1810</v>
      </c>
      <c r="C488" s="4">
        <v>46134.67105324074</v>
      </c>
      <c r="D488" s="1" t="s">
        <v>690</v>
      </c>
      <c r="E488" s="1" t="s">
        <v>1811</v>
      </c>
      <c r="F488" s="3">
        <v>9.716262227E9</v>
      </c>
      <c r="G488" s="1" t="s">
        <v>46</v>
      </c>
      <c r="H488" s="1" t="s">
        <v>241</v>
      </c>
      <c r="I488" s="1" t="s">
        <v>241</v>
      </c>
      <c r="J488" s="1" t="s">
        <v>133</v>
      </c>
    </row>
    <row r="489">
      <c r="A489" s="3">
        <v>89806.0</v>
      </c>
      <c r="B489" s="1" t="s">
        <v>1812</v>
      </c>
      <c r="C489" s="4">
        <v>46134.679872685185</v>
      </c>
      <c r="D489" s="1" t="s">
        <v>690</v>
      </c>
      <c r="E489" s="1" t="s">
        <v>1813</v>
      </c>
      <c r="F489" s="3">
        <v>6.302725675E9</v>
      </c>
      <c r="G489" s="1" t="s">
        <v>46</v>
      </c>
      <c r="H489" s="1" t="s">
        <v>104</v>
      </c>
      <c r="I489" s="1" t="s">
        <v>103</v>
      </c>
      <c r="J489" s="1" t="s">
        <v>43</v>
      </c>
    </row>
    <row r="490">
      <c r="A490" s="3">
        <v>89807.0</v>
      </c>
      <c r="B490" s="1" t="s">
        <v>1814</v>
      </c>
      <c r="C490" s="4">
        <v>46134.68734953704</v>
      </c>
      <c r="D490" s="1" t="s">
        <v>694</v>
      </c>
      <c r="E490" s="1" t="s">
        <v>1815</v>
      </c>
      <c r="F490" s="3">
        <v>9.508884142E9</v>
      </c>
      <c r="G490" s="1" t="s">
        <v>46</v>
      </c>
      <c r="H490" s="1" t="s">
        <v>148</v>
      </c>
      <c r="I490" s="1" t="s">
        <v>1816</v>
      </c>
      <c r="J490" s="1" t="s">
        <v>43</v>
      </c>
    </row>
    <row r="491">
      <c r="A491" s="3">
        <v>89808.0</v>
      </c>
      <c r="B491" s="1" t="s">
        <v>1817</v>
      </c>
      <c r="C491" s="4">
        <v>46134.690150462964</v>
      </c>
      <c r="D491" s="1" t="s">
        <v>694</v>
      </c>
      <c r="E491" s="1" t="s">
        <v>1818</v>
      </c>
      <c r="F491" s="3">
        <v>9.636967365E9</v>
      </c>
      <c r="G491" s="1" t="s">
        <v>46</v>
      </c>
      <c r="H491" s="1" t="s">
        <v>63</v>
      </c>
      <c r="I491" s="1" t="s">
        <v>85</v>
      </c>
      <c r="J491" s="1" t="s">
        <v>133</v>
      </c>
    </row>
    <row r="492">
      <c r="A492" s="3">
        <v>89809.0</v>
      </c>
      <c r="B492" s="1" t="s">
        <v>1819</v>
      </c>
      <c r="C492" s="4">
        <v>46134.69372685185</v>
      </c>
      <c r="D492" s="1" t="s">
        <v>690</v>
      </c>
      <c r="E492" s="1" t="s">
        <v>1820</v>
      </c>
      <c r="F492" s="3">
        <v>9.82482424E9</v>
      </c>
      <c r="G492" s="1" t="s">
        <v>46</v>
      </c>
      <c r="H492" s="1" t="s">
        <v>63</v>
      </c>
      <c r="I492" s="1" t="s">
        <v>97</v>
      </c>
      <c r="J492" s="1" t="s">
        <v>133</v>
      </c>
    </row>
    <row r="493">
      <c r="A493" s="3">
        <v>89810.0</v>
      </c>
      <c r="B493" s="1" t="s">
        <v>1821</v>
      </c>
      <c r="C493" s="4">
        <v>46134.703206018516</v>
      </c>
      <c r="D493" s="1" t="s">
        <v>694</v>
      </c>
      <c r="E493" s="1" t="s">
        <v>1822</v>
      </c>
      <c r="F493" s="3">
        <v>8.851314044E9</v>
      </c>
      <c r="G493" s="1" t="s">
        <v>46</v>
      </c>
      <c r="H493" s="1" t="s">
        <v>241</v>
      </c>
      <c r="I493" s="1" t="s">
        <v>275</v>
      </c>
      <c r="J493" s="1" t="s">
        <v>43</v>
      </c>
    </row>
    <row r="494">
      <c r="A494" s="3">
        <v>89811.0</v>
      </c>
      <c r="B494" s="1" t="s">
        <v>1823</v>
      </c>
      <c r="C494" s="4">
        <v>46134.71668981481</v>
      </c>
      <c r="D494" s="1" t="s">
        <v>694</v>
      </c>
      <c r="E494" s="1" t="s">
        <v>1824</v>
      </c>
      <c r="F494" s="3">
        <v>7.903988798E9</v>
      </c>
      <c r="G494" s="1" t="s">
        <v>46</v>
      </c>
      <c r="H494" s="1" t="s">
        <v>148</v>
      </c>
      <c r="I494" s="1" t="s">
        <v>1825</v>
      </c>
      <c r="J494" s="1" t="s">
        <v>43</v>
      </c>
    </row>
    <row r="495">
      <c r="A495" s="3">
        <v>89812.0</v>
      </c>
      <c r="B495" s="1" t="s">
        <v>1826</v>
      </c>
      <c r="C495" s="4">
        <v>46134.7184375</v>
      </c>
      <c r="D495" s="1" t="s">
        <v>690</v>
      </c>
      <c r="E495" s="1" t="s">
        <v>1827</v>
      </c>
      <c r="F495" s="3">
        <v>9.893175569E9</v>
      </c>
      <c r="G495" s="1" t="s">
        <v>46</v>
      </c>
      <c r="H495" s="1" t="s">
        <v>152</v>
      </c>
      <c r="I495" s="1" t="s">
        <v>151</v>
      </c>
      <c r="J495" s="1" t="s">
        <v>133</v>
      </c>
    </row>
    <row r="496">
      <c r="A496" s="3">
        <v>89813.0</v>
      </c>
      <c r="B496" s="1" t="s">
        <v>1828</v>
      </c>
      <c r="C496" s="4">
        <v>46134.789143518516</v>
      </c>
      <c r="D496" s="1" t="s">
        <v>694</v>
      </c>
      <c r="E496" s="1" t="s">
        <v>1829</v>
      </c>
      <c r="F496" s="3">
        <v>8.920166482E9</v>
      </c>
      <c r="G496" s="1" t="s">
        <v>46</v>
      </c>
      <c r="H496" s="1" t="s">
        <v>63</v>
      </c>
      <c r="I496" s="1" t="s">
        <v>97</v>
      </c>
      <c r="J496" s="1" t="s">
        <v>43</v>
      </c>
    </row>
    <row r="497">
      <c r="A497" s="3">
        <v>89814.0</v>
      </c>
      <c r="B497" s="1" t="s">
        <v>1830</v>
      </c>
      <c r="C497" s="4">
        <v>46134.82541666667</v>
      </c>
      <c r="D497" s="1" t="s">
        <v>694</v>
      </c>
      <c r="E497" s="1" t="s">
        <v>1831</v>
      </c>
      <c r="F497" s="3">
        <v>9.867639606E9</v>
      </c>
      <c r="G497" s="1" t="s">
        <v>46</v>
      </c>
      <c r="H497" s="1" t="s">
        <v>152</v>
      </c>
      <c r="I497" s="1" t="s">
        <v>151</v>
      </c>
      <c r="J497" s="1" t="s">
        <v>133</v>
      </c>
    </row>
    <row r="498">
      <c r="A498" s="3">
        <v>89815.0</v>
      </c>
      <c r="B498" s="1" t="s">
        <v>1832</v>
      </c>
      <c r="C498" s="4">
        <v>46134.8443287037</v>
      </c>
      <c r="D498" s="1" t="s">
        <v>694</v>
      </c>
      <c r="E498" s="1" t="s">
        <v>1833</v>
      </c>
      <c r="F498" s="3">
        <v>9.897242487E9</v>
      </c>
      <c r="G498" s="1" t="s">
        <v>46</v>
      </c>
      <c r="H498" s="1" t="s">
        <v>53</v>
      </c>
      <c r="I498" s="1" t="s">
        <v>611</v>
      </c>
      <c r="J498" s="1" t="s">
        <v>133</v>
      </c>
    </row>
    <row r="499">
      <c r="A499" s="3">
        <v>89816.0</v>
      </c>
      <c r="B499" s="1" t="s">
        <v>1834</v>
      </c>
      <c r="C499" s="4">
        <v>46134.848275462966</v>
      </c>
      <c r="D499" s="1" t="s">
        <v>690</v>
      </c>
      <c r="E499" s="1" t="s">
        <v>1835</v>
      </c>
      <c r="F499" s="3">
        <v>9.871802211E9</v>
      </c>
      <c r="G499" s="1" t="s">
        <v>46</v>
      </c>
      <c r="H499" s="1" t="s">
        <v>241</v>
      </c>
      <c r="I499" s="1" t="s">
        <v>275</v>
      </c>
      <c r="J499" s="1" t="s">
        <v>133</v>
      </c>
    </row>
    <row r="500">
      <c r="A500" s="3">
        <v>89817.0</v>
      </c>
      <c r="B500" s="1" t="s">
        <v>1836</v>
      </c>
      <c r="C500" s="4">
        <v>46134.85225694445</v>
      </c>
      <c r="D500" s="1" t="s">
        <v>690</v>
      </c>
      <c r="E500" s="1" t="s">
        <v>1837</v>
      </c>
      <c r="F500" s="3">
        <v>7.869454735E9</v>
      </c>
      <c r="G500" s="1" t="s">
        <v>46</v>
      </c>
      <c r="H500" s="1" t="s">
        <v>63</v>
      </c>
      <c r="I500" s="1" t="s">
        <v>97</v>
      </c>
      <c r="J500" s="1" t="s">
        <v>133</v>
      </c>
    </row>
    <row r="501">
      <c r="A501" s="3">
        <v>89818.0</v>
      </c>
      <c r="B501" s="1" t="s">
        <v>1838</v>
      </c>
      <c r="C501" s="4">
        <v>46134.855729166666</v>
      </c>
      <c r="D501" s="1" t="s">
        <v>690</v>
      </c>
      <c r="E501" s="1" t="s">
        <v>1839</v>
      </c>
      <c r="F501" s="3">
        <v>9.791105356E9</v>
      </c>
      <c r="G501" s="1" t="s">
        <v>46</v>
      </c>
      <c r="H501" s="1" t="s">
        <v>152</v>
      </c>
      <c r="I501" s="1" t="s">
        <v>151</v>
      </c>
      <c r="J501" s="1" t="s">
        <v>133</v>
      </c>
    </row>
    <row r="502">
      <c r="A502" s="3">
        <v>89819.0</v>
      </c>
      <c r="B502" s="1" t="s">
        <v>523</v>
      </c>
      <c r="C502" s="4">
        <v>46134.87342592593</v>
      </c>
      <c r="D502" s="1" t="s">
        <v>694</v>
      </c>
      <c r="E502" s="1" t="s">
        <v>525</v>
      </c>
      <c r="F502" s="3">
        <v>9.506985299E9</v>
      </c>
      <c r="G502" s="1" t="s">
        <v>46</v>
      </c>
      <c r="H502" s="1" t="s">
        <v>152</v>
      </c>
      <c r="I502" s="1" t="s">
        <v>151</v>
      </c>
      <c r="J502" s="1" t="s">
        <v>133</v>
      </c>
    </row>
    <row r="503">
      <c r="A503" s="3">
        <v>89820.0</v>
      </c>
      <c r="B503" s="1" t="s">
        <v>1840</v>
      </c>
      <c r="C503" s="4">
        <v>46134.88853009259</v>
      </c>
      <c r="D503" s="1" t="s">
        <v>690</v>
      </c>
      <c r="E503" s="1" t="s">
        <v>1841</v>
      </c>
      <c r="F503" s="3">
        <v>9.137753904E9</v>
      </c>
      <c r="G503" s="1" t="s">
        <v>46</v>
      </c>
      <c r="H503" s="1" t="s">
        <v>63</v>
      </c>
      <c r="I503" s="1" t="s">
        <v>862</v>
      </c>
      <c r="J503" s="1" t="s">
        <v>133</v>
      </c>
    </row>
    <row r="504">
      <c r="A504" s="3">
        <v>89821.0</v>
      </c>
      <c r="B504" s="1" t="s">
        <v>1842</v>
      </c>
      <c r="C504" s="4">
        <v>46134.88914351852</v>
      </c>
      <c r="D504" s="1" t="s">
        <v>694</v>
      </c>
      <c r="E504" s="1" t="s">
        <v>1843</v>
      </c>
      <c r="F504" s="3">
        <v>9.098806728E9</v>
      </c>
      <c r="G504" s="1" t="s">
        <v>46</v>
      </c>
      <c r="H504" s="1" t="s">
        <v>241</v>
      </c>
      <c r="I504" s="1" t="s">
        <v>275</v>
      </c>
      <c r="J504" s="1" t="s">
        <v>43</v>
      </c>
    </row>
    <row r="505">
      <c r="A505" s="3">
        <v>89822.0</v>
      </c>
      <c r="B505" s="1" t="s">
        <v>1844</v>
      </c>
      <c r="C505" s="4">
        <v>46134.9031712963</v>
      </c>
      <c r="D505" s="1" t="s">
        <v>690</v>
      </c>
      <c r="E505" s="1" t="s">
        <v>1845</v>
      </c>
      <c r="F505" s="3">
        <v>9.755292642E9</v>
      </c>
      <c r="G505" s="1" t="s">
        <v>46</v>
      </c>
      <c r="H505" s="1" t="s">
        <v>209</v>
      </c>
      <c r="I505" s="1" t="s">
        <v>1846</v>
      </c>
      <c r="J505" s="1" t="s">
        <v>43</v>
      </c>
    </row>
    <row r="506">
      <c r="A506" s="3">
        <v>89823.0</v>
      </c>
      <c r="B506" s="1" t="s">
        <v>1847</v>
      </c>
      <c r="C506" s="4">
        <v>46134.92228009259</v>
      </c>
      <c r="D506" s="1" t="s">
        <v>694</v>
      </c>
      <c r="E506" s="1" t="s">
        <v>1848</v>
      </c>
      <c r="F506" s="3">
        <v>8.810340286E9</v>
      </c>
      <c r="G506" s="1" t="s">
        <v>46</v>
      </c>
      <c r="H506" s="1" t="s">
        <v>124</v>
      </c>
      <c r="I506" s="1" t="s">
        <v>160</v>
      </c>
      <c r="J506" s="1" t="s">
        <v>468</v>
      </c>
    </row>
    <row r="507">
      <c r="A507" s="3">
        <v>89824.0</v>
      </c>
      <c r="B507" s="1" t="s">
        <v>1849</v>
      </c>
      <c r="C507" s="4">
        <v>46134.94865740741</v>
      </c>
      <c r="D507" s="1" t="s">
        <v>694</v>
      </c>
      <c r="E507" s="1" t="s">
        <v>1850</v>
      </c>
      <c r="F507" s="3">
        <v>9.886000419E9</v>
      </c>
      <c r="G507" s="1" t="s">
        <v>46</v>
      </c>
      <c r="H507" s="1" t="s">
        <v>152</v>
      </c>
      <c r="I507" s="1" t="s">
        <v>151</v>
      </c>
      <c r="J507" s="1" t="s">
        <v>43</v>
      </c>
    </row>
    <row r="508">
      <c r="A508" s="3">
        <v>89825.0</v>
      </c>
      <c r="B508" s="1" t="s">
        <v>1851</v>
      </c>
      <c r="C508" s="4">
        <v>46135.03636574074</v>
      </c>
      <c r="D508" s="1" t="s">
        <v>694</v>
      </c>
      <c r="E508" s="1" t="s">
        <v>1852</v>
      </c>
      <c r="F508" s="3">
        <v>8.368537254E9</v>
      </c>
      <c r="G508" s="1" t="s">
        <v>46</v>
      </c>
      <c r="H508" s="1" t="s">
        <v>241</v>
      </c>
      <c r="I508" s="1" t="s">
        <v>241</v>
      </c>
      <c r="J508" s="1" t="s">
        <v>43</v>
      </c>
    </row>
    <row r="509">
      <c r="A509" s="3">
        <v>89826.0</v>
      </c>
      <c r="B509" s="1" t="s">
        <v>1853</v>
      </c>
      <c r="C509" s="4">
        <v>46135.14939814815</v>
      </c>
      <c r="D509" s="1" t="s">
        <v>694</v>
      </c>
      <c r="E509" s="1" t="s">
        <v>1854</v>
      </c>
      <c r="F509" s="10">
        <v>1.2066E10</v>
      </c>
      <c r="G509" s="1" t="s">
        <v>294</v>
      </c>
      <c r="H509" s="1" t="s">
        <v>1128</v>
      </c>
      <c r="I509" s="1" t="s">
        <v>1855</v>
      </c>
      <c r="J509" s="1" t="s">
        <v>43</v>
      </c>
    </row>
    <row r="510">
      <c r="A510" s="3">
        <v>89827.0</v>
      </c>
      <c r="B510" s="1" t="s">
        <v>1856</v>
      </c>
      <c r="C510" s="4">
        <v>46135.35016203704</v>
      </c>
      <c r="D510" s="1" t="s">
        <v>694</v>
      </c>
      <c r="E510" s="1" t="s">
        <v>1857</v>
      </c>
      <c r="F510" s="7" t="str">
        <f>+91 7208016069</f>
        <v>#ERROR!</v>
      </c>
      <c r="G510" s="1" t="s">
        <v>46</v>
      </c>
      <c r="H510" s="1" t="s">
        <v>63</v>
      </c>
      <c r="I510" s="1" t="s">
        <v>862</v>
      </c>
      <c r="J510" s="1" t="s">
        <v>43</v>
      </c>
    </row>
    <row r="511">
      <c r="A511" s="3">
        <v>89828.0</v>
      </c>
      <c r="B511" s="1" t="s">
        <v>1858</v>
      </c>
      <c r="C511" s="4">
        <v>46135.41873842593</v>
      </c>
      <c r="D511" s="1" t="s">
        <v>694</v>
      </c>
      <c r="E511" s="1" t="s">
        <v>1859</v>
      </c>
      <c r="F511" s="3">
        <v>9.999477108E9</v>
      </c>
      <c r="G511" s="1" t="s">
        <v>46</v>
      </c>
      <c r="H511" s="1" t="s">
        <v>152</v>
      </c>
      <c r="I511" s="1" t="s">
        <v>151</v>
      </c>
      <c r="J511" s="1" t="s">
        <v>215</v>
      </c>
      <c r="K511" s="7"/>
    </row>
    <row r="512">
      <c r="A512" s="3">
        <v>89829.0</v>
      </c>
      <c r="B512" s="1" t="s">
        <v>1860</v>
      </c>
      <c r="C512" s="4">
        <v>46135.41974537037</v>
      </c>
      <c r="D512" s="1" t="s">
        <v>694</v>
      </c>
      <c r="E512" s="1" t="s">
        <v>1861</v>
      </c>
      <c r="F512" s="3">
        <v>9.962517134E9</v>
      </c>
      <c r="G512" s="1" t="s">
        <v>46</v>
      </c>
      <c r="H512" s="1" t="s">
        <v>118</v>
      </c>
      <c r="I512" s="1" t="s">
        <v>473</v>
      </c>
      <c r="J512" s="1" t="s">
        <v>43</v>
      </c>
    </row>
    <row r="513">
      <c r="A513" s="3">
        <v>89830.0</v>
      </c>
      <c r="B513" s="1" t="s">
        <v>1862</v>
      </c>
      <c r="C513" s="4">
        <v>46135.42144675926</v>
      </c>
      <c r="D513" s="1" t="s">
        <v>694</v>
      </c>
      <c r="E513" s="1" t="s">
        <v>1863</v>
      </c>
      <c r="F513" s="3">
        <v>8.334944949E9</v>
      </c>
      <c r="G513" s="1" t="s">
        <v>46</v>
      </c>
      <c r="H513" s="1" t="s">
        <v>152</v>
      </c>
      <c r="I513" s="1" t="s">
        <v>151</v>
      </c>
      <c r="J513" s="1" t="s">
        <v>215</v>
      </c>
      <c r="K513" s="7"/>
    </row>
    <row r="514">
      <c r="A514" s="3">
        <v>89831.0</v>
      </c>
      <c r="B514" s="1" t="s">
        <v>1864</v>
      </c>
      <c r="C514" s="4">
        <v>46135.422430555554</v>
      </c>
      <c r="D514" s="1" t="s">
        <v>694</v>
      </c>
      <c r="E514" s="1" t="s">
        <v>1865</v>
      </c>
      <c r="F514" s="7" t="str">
        <f>+91 80950-93311</f>
        <v>#ERROR!</v>
      </c>
      <c r="G514" s="1" t="s">
        <v>46</v>
      </c>
      <c r="H514" s="1" t="s">
        <v>152</v>
      </c>
      <c r="I514" s="1" t="s">
        <v>151</v>
      </c>
      <c r="J514" s="1" t="s">
        <v>215</v>
      </c>
      <c r="K514" s="7"/>
    </row>
    <row r="515">
      <c r="A515" s="3">
        <v>89832.0</v>
      </c>
      <c r="B515" s="1" t="s">
        <v>1866</v>
      </c>
      <c r="C515" s="4">
        <v>46135.42321759259</v>
      </c>
      <c r="D515" s="1" t="s">
        <v>690</v>
      </c>
      <c r="E515" s="1" t="s">
        <v>1867</v>
      </c>
      <c r="F515" s="3">
        <v>7.406022444E9</v>
      </c>
      <c r="G515" s="1" t="s">
        <v>46</v>
      </c>
      <c r="H515" s="1" t="s">
        <v>152</v>
      </c>
      <c r="I515" s="1" t="s">
        <v>968</v>
      </c>
      <c r="J515" s="1" t="s">
        <v>215</v>
      </c>
      <c r="K515" s="7"/>
    </row>
    <row r="516">
      <c r="A516" s="3">
        <v>89833.0</v>
      </c>
      <c r="B516" s="1" t="s">
        <v>1868</v>
      </c>
      <c r="C516" s="4">
        <v>46135.424305555556</v>
      </c>
      <c r="D516" s="1" t="s">
        <v>694</v>
      </c>
      <c r="E516" s="1" t="s">
        <v>1869</v>
      </c>
      <c r="F516" s="3">
        <v>8.073240153E9</v>
      </c>
      <c r="G516" s="1" t="s">
        <v>46</v>
      </c>
      <c r="H516" s="1" t="s">
        <v>152</v>
      </c>
      <c r="I516" s="1" t="s">
        <v>151</v>
      </c>
      <c r="J516" s="1" t="s">
        <v>215</v>
      </c>
      <c r="K516" s="7"/>
    </row>
    <row r="517">
      <c r="A517" s="3">
        <v>89834.0</v>
      </c>
      <c r="B517" s="1" t="s">
        <v>1870</v>
      </c>
      <c r="C517" s="4">
        <v>46135.42605324074</v>
      </c>
      <c r="D517" s="1" t="s">
        <v>690</v>
      </c>
      <c r="E517" s="1" t="s">
        <v>1871</v>
      </c>
      <c r="F517" s="3">
        <v>8.86741058E9</v>
      </c>
      <c r="G517" s="1" t="s">
        <v>46</v>
      </c>
      <c r="H517" s="1" t="s">
        <v>152</v>
      </c>
      <c r="I517" s="1" t="s">
        <v>151</v>
      </c>
      <c r="J517" s="1" t="s">
        <v>43</v>
      </c>
    </row>
    <row r="518">
      <c r="A518" s="3">
        <v>89835.0</v>
      </c>
      <c r="B518" s="1" t="s">
        <v>1872</v>
      </c>
      <c r="C518" s="4">
        <v>46135.50412037037</v>
      </c>
      <c r="D518" s="1" t="s">
        <v>690</v>
      </c>
      <c r="E518" s="1" t="s">
        <v>1873</v>
      </c>
      <c r="F518" s="3">
        <v>7.619366491E9</v>
      </c>
      <c r="G518" s="1" t="s">
        <v>46</v>
      </c>
      <c r="H518" s="1" t="s">
        <v>152</v>
      </c>
      <c r="I518" s="1" t="s">
        <v>1874</v>
      </c>
      <c r="J518" s="1" t="s">
        <v>43</v>
      </c>
    </row>
    <row r="519">
      <c r="A519" s="3">
        <v>89836.0</v>
      </c>
      <c r="B519" s="1" t="s">
        <v>1875</v>
      </c>
      <c r="C519" s="4">
        <v>46135.51064814815</v>
      </c>
      <c r="D519" s="1" t="s">
        <v>690</v>
      </c>
      <c r="E519" s="1" t="s">
        <v>1876</v>
      </c>
      <c r="F519" s="3">
        <v>8.452933651E9</v>
      </c>
      <c r="G519" s="1" t="s">
        <v>46</v>
      </c>
      <c r="H519" s="1" t="s">
        <v>63</v>
      </c>
      <c r="I519" s="1" t="s">
        <v>85</v>
      </c>
      <c r="J519" s="1" t="s">
        <v>1877</v>
      </c>
    </row>
    <row r="520">
      <c r="A520" s="3">
        <v>89837.0</v>
      </c>
      <c r="B520" s="1" t="s">
        <v>1878</v>
      </c>
      <c r="C520" s="4">
        <v>46135.52644675926</v>
      </c>
      <c r="D520" s="1" t="s">
        <v>690</v>
      </c>
      <c r="E520" s="1" t="s">
        <v>1879</v>
      </c>
      <c r="F520" s="3">
        <v>9.481700733E9</v>
      </c>
      <c r="G520" s="1" t="s">
        <v>46</v>
      </c>
      <c r="H520" s="1" t="s">
        <v>152</v>
      </c>
      <c r="I520" s="1" t="s">
        <v>151</v>
      </c>
      <c r="J520" s="1" t="s">
        <v>215</v>
      </c>
      <c r="K520" s="7"/>
    </row>
    <row r="521">
      <c r="A521" s="3">
        <v>89838.0</v>
      </c>
      <c r="B521" s="1" t="s">
        <v>1880</v>
      </c>
      <c r="C521" s="4">
        <v>46135.52789351852</v>
      </c>
      <c r="D521" s="1" t="s">
        <v>694</v>
      </c>
      <c r="E521" s="1" t="s">
        <v>1881</v>
      </c>
      <c r="F521" s="3">
        <v>8.435870045E9</v>
      </c>
      <c r="G521" s="1" t="s">
        <v>46</v>
      </c>
      <c r="H521" s="1" t="s">
        <v>118</v>
      </c>
      <c r="I521" s="1" t="s">
        <v>1882</v>
      </c>
      <c r="J521" s="1" t="s">
        <v>43</v>
      </c>
    </row>
    <row r="522">
      <c r="A522" s="3">
        <v>89839.0</v>
      </c>
      <c r="B522" s="1" t="s">
        <v>1883</v>
      </c>
      <c r="C522" s="4">
        <v>46135.53146990741</v>
      </c>
      <c r="D522" s="1" t="s">
        <v>690</v>
      </c>
      <c r="E522" s="1" t="s">
        <v>1884</v>
      </c>
      <c r="F522" s="3">
        <v>7.79509784E9</v>
      </c>
      <c r="G522" s="1" t="s">
        <v>46</v>
      </c>
      <c r="H522" s="1" t="s">
        <v>152</v>
      </c>
      <c r="I522" s="1" t="s">
        <v>151</v>
      </c>
      <c r="J522" s="1" t="s">
        <v>215</v>
      </c>
      <c r="K522" s="7"/>
    </row>
    <row r="523">
      <c r="A523" s="3">
        <v>89840.0</v>
      </c>
      <c r="B523" s="1" t="s">
        <v>1885</v>
      </c>
      <c r="C523" s="4">
        <v>46135.54299768519</v>
      </c>
      <c r="D523" s="1" t="s">
        <v>690</v>
      </c>
      <c r="E523" s="1" t="s">
        <v>1886</v>
      </c>
      <c r="F523" s="3">
        <v>7.259712399E9</v>
      </c>
      <c r="G523" s="1" t="s">
        <v>46</v>
      </c>
      <c r="H523" s="1" t="s">
        <v>152</v>
      </c>
      <c r="I523" s="1" t="s">
        <v>151</v>
      </c>
      <c r="J523" s="1" t="s">
        <v>215</v>
      </c>
      <c r="K523" s="7"/>
    </row>
    <row r="524">
      <c r="A524" s="3">
        <v>89841.0</v>
      </c>
      <c r="B524" s="1" t="s">
        <v>1887</v>
      </c>
      <c r="C524" s="4">
        <v>46135.54585648148</v>
      </c>
      <c r="D524" s="1" t="s">
        <v>694</v>
      </c>
      <c r="E524" s="1" t="s">
        <v>1888</v>
      </c>
      <c r="F524" s="3">
        <v>9.113517659E9</v>
      </c>
      <c r="G524" s="1" t="s">
        <v>46</v>
      </c>
      <c r="H524" s="1" t="s">
        <v>152</v>
      </c>
      <c r="I524" s="1" t="s">
        <v>151</v>
      </c>
      <c r="J524" s="1" t="s">
        <v>215</v>
      </c>
      <c r="K524" s="7"/>
    </row>
    <row r="525">
      <c r="A525" s="3">
        <v>89842.0</v>
      </c>
      <c r="B525" s="1" t="s">
        <v>1889</v>
      </c>
      <c r="C525" s="4">
        <v>46135.55076388889</v>
      </c>
      <c r="E525" s="1" t="s">
        <v>1890</v>
      </c>
      <c r="F525" s="3">
        <v>9.611420169E9</v>
      </c>
      <c r="G525" s="7"/>
      <c r="H525" s="7"/>
      <c r="I525" s="7"/>
      <c r="J525" s="1" t="s">
        <v>1891</v>
      </c>
      <c r="K525" s="7"/>
    </row>
    <row r="526">
      <c r="A526" s="3">
        <v>89843.0</v>
      </c>
      <c r="B526" s="1" t="s">
        <v>1892</v>
      </c>
      <c r="C526" s="4">
        <v>46135.551712962966</v>
      </c>
      <c r="D526" s="1" t="s">
        <v>690</v>
      </c>
      <c r="E526" s="1" t="s">
        <v>1893</v>
      </c>
      <c r="F526" s="3">
        <v>9.66770245E9</v>
      </c>
      <c r="G526" s="1" t="s">
        <v>46</v>
      </c>
      <c r="H526" s="1" t="s">
        <v>241</v>
      </c>
      <c r="I526" s="1" t="s">
        <v>275</v>
      </c>
      <c r="J526" s="1" t="s">
        <v>468</v>
      </c>
    </row>
    <row r="527">
      <c r="A527" s="3">
        <v>89844.0</v>
      </c>
      <c r="B527" s="1" t="s">
        <v>1894</v>
      </c>
      <c r="C527" s="4">
        <v>46135.56037037037</v>
      </c>
      <c r="D527" s="1" t="s">
        <v>690</v>
      </c>
      <c r="E527" s="1" t="s">
        <v>1895</v>
      </c>
      <c r="F527" s="3">
        <v>8.733032805E9</v>
      </c>
      <c r="G527" s="1" t="s">
        <v>46</v>
      </c>
      <c r="H527" s="1" t="s">
        <v>198</v>
      </c>
      <c r="I527" s="1" t="s">
        <v>868</v>
      </c>
      <c r="J527" s="1" t="s">
        <v>43</v>
      </c>
    </row>
    <row r="528">
      <c r="A528" s="3">
        <v>89845.0</v>
      </c>
      <c r="B528" s="1" t="s">
        <v>1896</v>
      </c>
      <c r="C528" s="4">
        <v>46135.56056712963</v>
      </c>
      <c r="D528" s="1" t="s">
        <v>690</v>
      </c>
      <c r="E528" s="1" t="s">
        <v>1897</v>
      </c>
      <c r="F528" s="3">
        <v>9.632040732E9</v>
      </c>
      <c r="G528" s="1" t="s">
        <v>46</v>
      </c>
      <c r="H528" s="1" t="s">
        <v>152</v>
      </c>
      <c r="I528" s="1" t="s">
        <v>151</v>
      </c>
      <c r="J528" s="1" t="s">
        <v>133</v>
      </c>
    </row>
    <row r="529">
      <c r="A529" s="3">
        <v>89846.0</v>
      </c>
      <c r="B529" s="1" t="s">
        <v>1898</v>
      </c>
      <c r="C529" s="4">
        <v>46135.568877314814</v>
      </c>
      <c r="D529" s="1" t="s">
        <v>694</v>
      </c>
      <c r="E529" s="1" t="s">
        <v>1899</v>
      </c>
      <c r="F529" s="3">
        <v>9.773144958E9</v>
      </c>
      <c r="G529" s="1" t="s">
        <v>46</v>
      </c>
      <c r="H529" s="1" t="s">
        <v>63</v>
      </c>
      <c r="I529" s="1" t="s">
        <v>85</v>
      </c>
      <c r="J529" s="1" t="s">
        <v>133</v>
      </c>
    </row>
    <row r="530">
      <c r="A530" s="3">
        <v>89847.0</v>
      </c>
      <c r="B530" s="1" t="s">
        <v>1900</v>
      </c>
      <c r="C530" s="4">
        <v>46135.57560185185</v>
      </c>
      <c r="D530" s="1" t="s">
        <v>690</v>
      </c>
      <c r="E530" s="1" t="s">
        <v>1901</v>
      </c>
      <c r="F530" s="3">
        <v>9.967280404E9</v>
      </c>
      <c r="G530" s="1" t="s">
        <v>46</v>
      </c>
      <c r="H530" s="1" t="s">
        <v>63</v>
      </c>
      <c r="I530" s="1" t="s">
        <v>85</v>
      </c>
      <c r="J530" s="1" t="s">
        <v>133</v>
      </c>
    </row>
    <row r="531">
      <c r="A531" s="3">
        <v>89848.0</v>
      </c>
      <c r="B531" s="1" t="s">
        <v>1902</v>
      </c>
      <c r="C531" s="4">
        <v>46135.58335648148</v>
      </c>
      <c r="D531" s="1" t="s">
        <v>690</v>
      </c>
      <c r="E531" s="1" t="s">
        <v>1903</v>
      </c>
      <c r="F531" s="3">
        <v>9.182537331E9</v>
      </c>
      <c r="G531" s="1" t="s">
        <v>46</v>
      </c>
      <c r="H531" s="1" t="s">
        <v>104</v>
      </c>
      <c r="I531" s="1" t="s">
        <v>103</v>
      </c>
      <c r="J531" s="1" t="s">
        <v>133</v>
      </c>
    </row>
    <row r="532">
      <c r="A532" s="3">
        <v>89849.0</v>
      </c>
      <c r="B532" s="1" t="s">
        <v>1904</v>
      </c>
      <c r="C532" s="4">
        <v>46135.58565972222</v>
      </c>
      <c r="D532" s="1" t="s">
        <v>694</v>
      </c>
      <c r="E532" s="1" t="s">
        <v>1905</v>
      </c>
      <c r="F532" s="3">
        <v>9.601033422E9</v>
      </c>
      <c r="G532" s="1" t="s">
        <v>46</v>
      </c>
      <c r="H532" s="1" t="s">
        <v>152</v>
      </c>
      <c r="I532" s="1" t="s">
        <v>151</v>
      </c>
      <c r="J532" s="1" t="s">
        <v>133</v>
      </c>
    </row>
    <row r="533">
      <c r="A533" s="3">
        <v>89852.0</v>
      </c>
      <c r="B533" s="1" t="s">
        <v>1906</v>
      </c>
      <c r="C533" s="4">
        <v>46135.61142361111</v>
      </c>
      <c r="D533" s="1" t="s">
        <v>690</v>
      </c>
      <c r="E533" s="1" t="s">
        <v>1907</v>
      </c>
      <c r="F533" s="3">
        <v>9.938825111E9</v>
      </c>
      <c r="G533" s="1" t="s">
        <v>46</v>
      </c>
      <c r="H533" s="1" t="s">
        <v>140</v>
      </c>
      <c r="I533" s="1" t="s">
        <v>823</v>
      </c>
      <c r="J533" s="1" t="s">
        <v>283</v>
      </c>
    </row>
    <row r="534">
      <c r="A534" s="3">
        <v>89853.0</v>
      </c>
      <c r="B534" s="1" t="s">
        <v>1908</v>
      </c>
      <c r="C534" s="4">
        <v>46135.61188657407</v>
      </c>
      <c r="D534" s="1" t="s">
        <v>694</v>
      </c>
      <c r="E534" s="1" t="s">
        <v>1909</v>
      </c>
      <c r="F534" s="3">
        <v>7.381091277E9</v>
      </c>
      <c r="G534" s="1" t="s">
        <v>46</v>
      </c>
      <c r="H534" s="1" t="s">
        <v>140</v>
      </c>
      <c r="I534" s="1" t="s">
        <v>823</v>
      </c>
      <c r="J534" s="1" t="s">
        <v>283</v>
      </c>
    </row>
    <row r="535">
      <c r="A535" s="3">
        <v>89854.0</v>
      </c>
      <c r="B535" s="1" t="s">
        <v>1910</v>
      </c>
      <c r="C535" s="4">
        <v>46135.61384259259</v>
      </c>
      <c r="D535" s="1" t="s">
        <v>690</v>
      </c>
      <c r="E535" s="1" t="s">
        <v>1911</v>
      </c>
      <c r="F535" s="3">
        <v>9.828854299E9</v>
      </c>
      <c r="G535" s="1" t="s">
        <v>46</v>
      </c>
      <c r="H535" s="1" t="s">
        <v>140</v>
      </c>
      <c r="I535" s="1" t="s">
        <v>823</v>
      </c>
      <c r="J535" s="1" t="s">
        <v>283</v>
      </c>
    </row>
    <row r="536">
      <c r="A536" s="3">
        <v>89855.0</v>
      </c>
      <c r="B536" s="1" t="s">
        <v>1912</v>
      </c>
      <c r="C536" s="4">
        <v>46135.61415509259</v>
      </c>
      <c r="D536" s="1" t="s">
        <v>690</v>
      </c>
      <c r="E536" s="1" t="s">
        <v>1913</v>
      </c>
      <c r="F536" s="3">
        <v>9.990989167E9</v>
      </c>
      <c r="G536" s="1" t="s">
        <v>46</v>
      </c>
      <c r="H536" s="1" t="s">
        <v>203</v>
      </c>
      <c r="I536" s="1" t="s">
        <v>1914</v>
      </c>
      <c r="J536" s="1" t="s">
        <v>283</v>
      </c>
    </row>
    <row r="537">
      <c r="A537" s="3">
        <v>89856.0</v>
      </c>
      <c r="B537" s="1" t="s">
        <v>1915</v>
      </c>
      <c r="C537" s="4">
        <v>46135.61486111111</v>
      </c>
      <c r="D537" s="1" t="s">
        <v>690</v>
      </c>
      <c r="E537" s="1" t="s">
        <v>1916</v>
      </c>
      <c r="F537" s="3">
        <v>7.377737277E9</v>
      </c>
      <c r="G537" s="1" t="s">
        <v>46</v>
      </c>
      <c r="H537" s="1" t="s">
        <v>140</v>
      </c>
      <c r="I537" s="1" t="s">
        <v>823</v>
      </c>
      <c r="J537" s="1" t="s">
        <v>283</v>
      </c>
    </row>
    <row r="538">
      <c r="A538" s="3">
        <v>89857.0</v>
      </c>
      <c r="B538" s="1" t="s">
        <v>1917</v>
      </c>
      <c r="C538" s="4">
        <v>46135.61628472222</v>
      </c>
      <c r="D538" s="1" t="s">
        <v>694</v>
      </c>
      <c r="E538" s="1" t="s">
        <v>1918</v>
      </c>
      <c r="F538" s="3">
        <v>8.763293616E9</v>
      </c>
      <c r="G538" s="1" t="s">
        <v>46</v>
      </c>
      <c r="H538" s="1" t="s">
        <v>140</v>
      </c>
      <c r="I538" s="1" t="s">
        <v>823</v>
      </c>
      <c r="J538" s="1" t="s">
        <v>283</v>
      </c>
    </row>
    <row r="539">
      <c r="A539" s="3">
        <v>89858.0</v>
      </c>
      <c r="B539" s="1" t="s">
        <v>1919</v>
      </c>
      <c r="C539" s="4">
        <v>46135.62283564815</v>
      </c>
      <c r="D539" s="1" t="s">
        <v>694</v>
      </c>
      <c r="E539" s="1" t="s">
        <v>1920</v>
      </c>
      <c r="F539" s="3">
        <v>9.827557317E9</v>
      </c>
      <c r="G539" s="1" t="s">
        <v>46</v>
      </c>
      <c r="H539" s="1" t="s">
        <v>203</v>
      </c>
      <c r="I539" s="1" t="s">
        <v>539</v>
      </c>
      <c r="J539" s="1" t="s">
        <v>283</v>
      </c>
    </row>
    <row r="540">
      <c r="A540" s="3">
        <v>89859.0</v>
      </c>
      <c r="B540" s="7"/>
      <c r="C540" s="4">
        <v>46135.63300925926</v>
      </c>
      <c r="E540" s="1" t="s">
        <v>1921</v>
      </c>
      <c r="H540" s="7"/>
      <c r="I540" s="7"/>
      <c r="J540" s="7"/>
      <c r="K540" s="7"/>
    </row>
    <row r="541">
      <c r="A541" s="3">
        <v>89860.0</v>
      </c>
      <c r="B541" s="1" t="s">
        <v>1922</v>
      </c>
      <c r="C541" s="4">
        <v>46135.64027777778</v>
      </c>
      <c r="D541" s="1" t="s">
        <v>694</v>
      </c>
      <c r="E541" s="1" t="s">
        <v>1923</v>
      </c>
      <c r="F541" s="3">
        <v>9.348948138E9</v>
      </c>
      <c r="G541" s="1" t="s">
        <v>46</v>
      </c>
      <c r="H541" s="1" t="s">
        <v>63</v>
      </c>
      <c r="I541" s="1" t="s">
        <v>97</v>
      </c>
      <c r="J541" s="1" t="s">
        <v>283</v>
      </c>
    </row>
    <row r="542">
      <c r="A542" s="3">
        <v>89861.0</v>
      </c>
      <c r="B542" s="1" t="s">
        <v>1924</v>
      </c>
      <c r="C542" s="4">
        <v>46135.64555555556</v>
      </c>
      <c r="D542" s="1" t="s">
        <v>690</v>
      </c>
      <c r="E542" s="1" t="s">
        <v>1925</v>
      </c>
      <c r="F542" s="3">
        <v>8.447732987E9</v>
      </c>
      <c r="G542" s="1" t="s">
        <v>46</v>
      </c>
      <c r="H542" s="1" t="s">
        <v>241</v>
      </c>
      <c r="I542" s="1" t="s">
        <v>241</v>
      </c>
      <c r="J542" s="1" t="s">
        <v>133</v>
      </c>
    </row>
    <row r="543">
      <c r="A543" s="3">
        <v>89862.0</v>
      </c>
      <c r="B543" s="1" t="s">
        <v>1926</v>
      </c>
      <c r="C543" s="4">
        <v>46135.65857638889</v>
      </c>
      <c r="D543" s="1" t="s">
        <v>694</v>
      </c>
      <c r="E543" s="1" t="s">
        <v>1927</v>
      </c>
      <c r="F543" s="3">
        <v>7.866055255E9</v>
      </c>
      <c r="G543" s="1" t="s">
        <v>46</v>
      </c>
      <c r="H543" s="1" t="s">
        <v>235</v>
      </c>
      <c r="I543" s="1" t="s">
        <v>873</v>
      </c>
      <c r="J543" s="1" t="s">
        <v>283</v>
      </c>
    </row>
    <row r="544">
      <c r="A544" s="3">
        <v>89863.0</v>
      </c>
      <c r="B544" s="1" t="s">
        <v>1928</v>
      </c>
      <c r="C544" s="4">
        <v>46135.663622685184</v>
      </c>
      <c r="D544" s="1" t="s">
        <v>690</v>
      </c>
      <c r="E544" s="1" t="s">
        <v>1929</v>
      </c>
      <c r="F544" s="3">
        <v>9.355252425E9</v>
      </c>
      <c r="G544" s="1" t="s">
        <v>46</v>
      </c>
      <c r="H544" s="1" t="s">
        <v>241</v>
      </c>
      <c r="I544" s="1" t="s">
        <v>275</v>
      </c>
      <c r="J544" s="1" t="s">
        <v>43</v>
      </c>
    </row>
    <row r="545">
      <c r="A545" s="3">
        <v>89864.0</v>
      </c>
      <c r="B545" s="1" t="s">
        <v>1930</v>
      </c>
      <c r="C545" s="4">
        <v>46135.664560185185</v>
      </c>
      <c r="D545" s="1" t="s">
        <v>694</v>
      </c>
      <c r="E545" s="1" t="s">
        <v>1931</v>
      </c>
      <c r="F545" s="3">
        <v>9.773670464E9</v>
      </c>
      <c r="G545" s="1" t="s">
        <v>46</v>
      </c>
      <c r="H545" s="1" t="s">
        <v>241</v>
      </c>
      <c r="I545" s="1" t="s">
        <v>241</v>
      </c>
      <c r="J545" s="1" t="s">
        <v>43</v>
      </c>
    </row>
    <row r="546">
      <c r="A546" s="3">
        <v>89865.0</v>
      </c>
      <c r="B546" s="1" t="s">
        <v>1932</v>
      </c>
      <c r="C546" s="4">
        <v>46135.66908564815</v>
      </c>
      <c r="D546" s="1" t="s">
        <v>694</v>
      </c>
      <c r="E546" s="1" t="s">
        <v>1933</v>
      </c>
      <c r="F546" s="3">
        <v>9.370914373E9</v>
      </c>
      <c r="G546" s="1" t="s">
        <v>46</v>
      </c>
      <c r="H546" s="1" t="s">
        <v>53</v>
      </c>
      <c r="I546" s="1" t="s">
        <v>367</v>
      </c>
      <c r="J546" s="1" t="s">
        <v>43</v>
      </c>
    </row>
    <row r="547">
      <c r="A547" s="3">
        <v>89866.0</v>
      </c>
      <c r="B547" s="1" t="s">
        <v>1934</v>
      </c>
      <c r="C547" s="4">
        <v>46135.68456018518</v>
      </c>
      <c r="D547" s="1" t="s">
        <v>690</v>
      </c>
      <c r="E547" s="1" t="s">
        <v>1935</v>
      </c>
      <c r="F547" s="3">
        <v>9.573634493E9</v>
      </c>
      <c r="G547" s="1" t="s">
        <v>46</v>
      </c>
      <c r="H547" s="1" t="s">
        <v>104</v>
      </c>
      <c r="I547" s="1" t="s">
        <v>1373</v>
      </c>
      <c r="J547" s="1" t="s">
        <v>133</v>
      </c>
    </row>
    <row r="548">
      <c r="A548" s="3">
        <v>89867.0</v>
      </c>
      <c r="B548" s="1" t="s">
        <v>1936</v>
      </c>
      <c r="C548" s="4">
        <v>46135.687268518515</v>
      </c>
      <c r="D548" s="1" t="s">
        <v>694</v>
      </c>
      <c r="E548" s="1" t="s">
        <v>1937</v>
      </c>
      <c r="F548" s="3">
        <v>9.110877347E9</v>
      </c>
      <c r="G548" s="1" t="s">
        <v>46</v>
      </c>
      <c r="H548" s="1" t="s">
        <v>152</v>
      </c>
      <c r="I548" s="1" t="s">
        <v>151</v>
      </c>
      <c r="J548" s="1" t="s">
        <v>43</v>
      </c>
    </row>
    <row r="549">
      <c r="A549" s="3">
        <v>89868.0</v>
      </c>
      <c r="B549" s="1" t="s">
        <v>1938</v>
      </c>
      <c r="C549" s="4">
        <v>46135.69443287037</v>
      </c>
      <c r="D549" s="1" t="s">
        <v>694</v>
      </c>
      <c r="E549" s="1" t="s">
        <v>1939</v>
      </c>
      <c r="F549" s="3">
        <v>7.008329235E9</v>
      </c>
      <c r="G549" s="1" t="s">
        <v>46</v>
      </c>
      <c r="H549" s="1" t="s">
        <v>140</v>
      </c>
      <c r="I549" s="1" t="s">
        <v>823</v>
      </c>
      <c r="J549" s="1" t="s">
        <v>283</v>
      </c>
    </row>
    <row r="550">
      <c r="A550" s="3">
        <v>89869.0</v>
      </c>
      <c r="B550" s="1" t="s">
        <v>1940</v>
      </c>
      <c r="C550" s="4">
        <v>46135.70019675926</v>
      </c>
      <c r="D550" s="1" t="s">
        <v>690</v>
      </c>
      <c r="E550" s="1" t="s">
        <v>1941</v>
      </c>
      <c r="F550" s="10">
        <v>9.1995E11</v>
      </c>
      <c r="G550" s="1" t="s">
        <v>46</v>
      </c>
      <c r="H550" s="1" t="s">
        <v>104</v>
      </c>
      <c r="I550" s="1" t="s">
        <v>103</v>
      </c>
      <c r="J550" s="1" t="s">
        <v>133</v>
      </c>
    </row>
    <row r="551">
      <c r="A551" s="3">
        <v>89870.0</v>
      </c>
      <c r="B551" s="1" t="s">
        <v>1942</v>
      </c>
      <c r="C551" s="4">
        <v>46135.72552083333</v>
      </c>
      <c r="D551" s="1" t="s">
        <v>690</v>
      </c>
      <c r="E551" s="1" t="s">
        <v>1943</v>
      </c>
      <c r="F551" s="3">
        <v>9.902239212E9</v>
      </c>
      <c r="G551" s="1" t="s">
        <v>46</v>
      </c>
      <c r="H551" s="1" t="s">
        <v>152</v>
      </c>
      <c r="I551" s="1" t="s">
        <v>1944</v>
      </c>
      <c r="J551" s="7"/>
      <c r="K551" s="7"/>
    </row>
    <row r="552">
      <c r="A552" s="3">
        <v>89871.0</v>
      </c>
      <c r="B552" s="1" t="s">
        <v>1945</v>
      </c>
      <c r="C552" s="4">
        <v>46135.73719907407</v>
      </c>
      <c r="D552" s="1" t="s">
        <v>690</v>
      </c>
      <c r="E552" s="1" t="s">
        <v>1946</v>
      </c>
      <c r="F552" s="3">
        <v>9.938818548E9</v>
      </c>
      <c r="G552" s="1" t="s">
        <v>46</v>
      </c>
      <c r="H552" s="1" t="s">
        <v>140</v>
      </c>
      <c r="I552" s="1" t="s">
        <v>823</v>
      </c>
      <c r="J552" s="1" t="s">
        <v>283</v>
      </c>
    </row>
    <row r="553">
      <c r="A553" s="3">
        <v>89872.0</v>
      </c>
      <c r="B553" s="1" t="s">
        <v>1947</v>
      </c>
      <c r="C553" s="4">
        <v>46135.748090277775</v>
      </c>
      <c r="D553" s="1" t="s">
        <v>694</v>
      </c>
      <c r="E553" s="1" t="s">
        <v>1948</v>
      </c>
      <c r="F553" s="3">
        <v>9.019534112E9</v>
      </c>
      <c r="G553" s="1" t="s">
        <v>46</v>
      </c>
      <c r="H553" s="1" t="s">
        <v>152</v>
      </c>
      <c r="I553" s="1" t="s">
        <v>1506</v>
      </c>
      <c r="J553" s="1" t="s">
        <v>43</v>
      </c>
    </row>
    <row r="554">
      <c r="A554" s="3">
        <v>89873.0</v>
      </c>
      <c r="B554" s="1" t="s">
        <v>1949</v>
      </c>
      <c r="C554" s="4">
        <v>46135.75331018519</v>
      </c>
      <c r="D554" s="1" t="s">
        <v>690</v>
      </c>
      <c r="E554" s="1" t="s">
        <v>1950</v>
      </c>
      <c r="F554" s="3">
        <v>7.405496486E9</v>
      </c>
      <c r="G554" s="1" t="s">
        <v>46</v>
      </c>
      <c r="H554" s="1" t="s">
        <v>152</v>
      </c>
      <c r="I554" s="1" t="s">
        <v>151</v>
      </c>
      <c r="J554" s="7"/>
      <c r="K554" s="7"/>
    </row>
    <row r="555">
      <c r="A555" s="3">
        <v>89874.0</v>
      </c>
      <c r="B555" s="1" t="s">
        <v>373</v>
      </c>
      <c r="C555" s="4">
        <v>46135.78319444445</v>
      </c>
      <c r="D555" s="1" t="s">
        <v>690</v>
      </c>
      <c r="E555" s="1" t="s">
        <v>375</v>
      </c>
      <c r="F555" s="3">
        <v>7.348182684E9</v>
      </c>
      <c r="G555" s="1" t="s">
        <v>46</v>
      </c>
      <c r="H555" s="1" t="s">
        <v>53</v>
      </c>
      <c r="I555" s="1" t="s">
        <v>374</v>
      </c>
      <c r="J555" s="1" t="s">
        <v>133</v>
      </c>
    </row>
    <row r="556">
      <c r="A556" s="3">
        <v>89875.0</v>
      </c>
      <c r="B556" s="1" t="s">
        <v>1951</v>
      </c>
      <c r="C556" s="4">
        <v>46135.78451388889</v>
      </c>
      <c r="D556" s="1" t="s">
        <v>690</v>
      </c>
      <c r="E556" s="1" t="s">
        <v>1952</v>
      </c>
      <c r="F556" s="3">
        <v>9.642326664E9</v>
      </c>
      <c r="G556" s="1" t="s">
        <v>46</v>
      </c>
      <c r="H556" s="1" t="s">
        <v>104</v>
      </c>
      <c r="I556" s="1" t="s">
        <v>103</v>
      </c>
      <c r="J556" s="1" t="s">
        <v>43</v>
      </c>
    </row>
    <row r="557">
      <c r="A557" s="3">
        <v>89876.0</v>
      </c>
      <c r="B557" s="1" t="s">
        <v>1953</v>
      </c>
      <c r="C557" s="4">
        <v>46135.804756944446</v>
      </c>
      <c r="D557" s="1" t="s">
        <v>694</v>
      </c>
      <c r="E557" s="1" t="s">
        <v>1954</v>
      </c>
      <c r="F557" s="10">
        <v>9.1966E11</v>
      </c>
      <c r="G557" s="1" t="s">
        <v>46</v>
      </c>
      <c r="H557" s="1" t="s">
        <v>182</v>
      </c>
      <c r="I557" s="1" t="s">
        <v>1955</v>
      </c>
      <c r="J557" s="1" t="s">
        <v>43</v>
      </c>
    </row>
    <row r="558">
      <c r="A558" s="3">
        <v>89877.0</v>
      </c>
      <c r="B558" s="1" t="s">
        <v>1956</v>
      </c>
      <c r="C558" s="4">
        <v>46135.81947916667</v>
      </c>
      <c r="D558" s="1" t="s">
        <v>694</v>
      </c>
      <c r="E558" s="1" t="s">
        <v>1957</v>
      </c>
      <c r="F558" s="3">
        <v>8.984323791E9</v>
      </c>
      <c r="G558" s="1" t="s">
        <v>46</v>
      </c>
      <c r="H558" s="1" t="s">
        <v>140</v>
      </c>
      <c r="I558" s="1" t="s">
        <v>1958</v>
      </c>
      <c r="J558" s="1" t="s">
        <v>43</v>
      </c>
    </row>
    <row r="559">
      <c r="A559" s="3">
        <v>89878.0</v>
      </c>
      <c r="B559" s="1" t="s">
        <v>1959</v>
      </c>
      <c r="C559" s="4">
        <v>46135.853055555555</v>
      </c>
      <c r="D559" s="1" t="s">
        <v>694</v>
      </c>
      <c r="E559" s="1" t="s">
        <v>1960</v>
      </c>
      <c r="F559" s="3">
        <v>7.427013342E9</v>
      </c>
      <c r="G559" s="1" t="s">
        <v>46</v>
      </c>
      <c r="H559" s="1" t="s">
        <v>198</v>
      </c>
      <c r="I559" s="1" t="s">
        <v>868</v>
      </c>
      <c r="J559" s="1" t="s">
        <v>43</v>
      </c>
    </row>
    <row r="560">
      <c r="A560" s="3">
        <v>89879.0</v>
      </c>
      <c r="B560" s="1" t="s">
        <v>1961</v>
      </c>
      <c r="C560" s="4">
        <v>46135.85393518519</v>
      </c>
      <c r="D560" s="1" t="s">
        <v>694</v>
      </c>
      <c r="E560" s="1" t="s">
        <v>1962</v>
      </c>
      <c r="F560" s="3">
        <v>7.729999053E9</v>
      </c>
      <c r="G560" s="1" t="s">
        <v>46</v>
      </c>
      <c r="H560" s="1" t="s">
        <v>104</v>
      </c>
      <c r="I560" s="1" t="s">
        <v>103</v>
      </c>
      <c r="J560" s="1" t="s">
        <v>133</v>
      </c>
    </row>
    <row r="561">
      <c r="A561" s="3">
        <v>89880.0</v>
      </c>
      <c r="B561" s="1" t="s">
        <v>1963</v>
      </c>
      <c r="C561" s="4">
        <v>46135.88615740741</v>
      </c>
      <c r="D561" s="1" t="s">
        <v>694</v>
      </c>
      <c r="E561" s="1" t="s">
        <v>1964</v>
      </c>
      <c r="F561" s="3">
        <v>9.565505474E9</v>
      </c>
      <c r="G561" s="1" t="s">
        <v>46</v>
      </c>
      <c r="H561" s="1" t="s">
        <v>53</v>
      </c>
      <c r="I561" s="1" t="s">
        <v>1965</v>
      </c>
      <c r="J561" s="1" t="s">
        <v>43</v>
      </c>
    </row>
    <row r="562">
      <c r="A562" s="3">
        <v>89881.0</v>
      </c>
      <c r="B562" s="1" t="s">
        <v>1966</v>
      </c>
      <c r="C562" s="4">
        <v>46135.921006944445</v>
      </c>
      <c r="D562" s="1" t="s">
        <v>694</v>
      </c>
      <c r="E562" s="1" t="s">
        <v>1967</v>
      </c>
      <c r="F562" s="1" t="s">
        <v>1968</v>
      </c>
      <c r="G562" s="1" t="s">
        <v>849</v>
      </c>
      <c r="H562" s="1" t="s">
        <v>1969</v>
      </c>
      <c r="I562" s="1" t="s">
        <v>1970</v>
      </c>
      <c r="J562" s="1" t="s">
        <v>43</v>
      </c>
    </row>
    <row r="563">
      <c r="A563" s="3">
        <v>89882.0</v>
      </c>
      <c r="B563" s="1" t="s">
        <v>1971</v>
      </c>
      <c r="C563" s="4">
        <v>46135.921273148146</v>
      </c>
      <c r="D563" s="1" t="s">
        <v>690</v>
      </c>
      <c r="E563" s="1" t="s">
        <v>1972</v>
      </c>
      <c r="F563" s="3">
        <v>9.348378071E9</v>
      </c>
      <c r="G563" s="1" t="s">
        <v>46</v>
      </c>
      <c r="H563" s="1" t="s">
        <v>140</v>
      </c>
      <c r="I563" s="1" t="s">
        <v>823</v>
      </c>
      <c r="J563" s="1" t="s">
        <v>283</v>
      </c>
    </row>
    <row r="564">
      <c r="A564" s="3">
        <v>89883.0</v>
      </c>
      <c r="B564" s="1" t="s">
        <v>1973</v>
      </c>
      <c r="C564" s="4">
        <v>46135.92223379629</v>
      </c>
      <c r="D564" s="1" t="s">
        <v>694</v>
      </c>
      <c r="E564" s="1" t="s">
        <v>1974</v>
      </c>
      <c r="F564" s="3">
        <v>8.296077538E9</v>
      </c>
      <c r="G564" s="1" t="s">
        <v>46</v>
      </c>
      <c r="H564" s="1" t="s">
        <v>152</v>
      </c>
      <c r="I564" s="1" t="s">
        <v>151</v>
      </c>
      <c r="J564" s="1" t="s">
        <v>215</v>
      </c>
      <c r="K564" s="7"/>
    </row>
    <row r="565">
      <c r="A565" s="3">
        <v>89884.0</v>
      </c>
      <c r="B565" s="1" t="s">
        <v>1975</v>
      </c>
      <c r="C565" s="4">
        <v>46135.945381944446</v>
      </c>
      <c r="D565" s="1" t="s">
        <v>694</v>
      </c>
      <c r="E565" s="1" t="s">
        <v>1976</v>
      </c>
      <c r="F565" s="3">
        <v>9.866351616E9</v>
      </c>
      <c r="G565" s="1" t="s">
        <v>46</v>
      </c>
      <c r="H565" s="1" t="s">
        <v>746</v>
      </c>
      <c r="I565" s="1" t="s">
        <v>837</v>
      </c>
      <c r="J565" s="1" t="s">
        <v>133</v>
      </c>
    </row>
    <row r="566">
      <c r="A566" s="3">
        <v>89885.0</v>
      </c>
      <c r="B566" s="1" t="s">
        <v>1977</v>
      </c>
      <c r="C566" s="4">
        <v>46135.99655092593</v>
      </c>
      <c r="D566" s="1" t="s">
        <v>694</v>
      </c>
      <c r="E566" s="1" t="s">
        <v>1978</v>
      </c>
      <c r="F566" s="3">
        <v>7.814027226E9</v>
      </c>
      <c r="G566" s="1" t="s">
        <v>46</v>
      </c>
      <c r="H566" s="1" t="s">
        <v>45</v>
      </c>
      <c r="I566" s="1" t="s">
        <v>1422</v>
      </c>
      <c r="J566" s="1" t="s">
        <v>43</v>
      </c>
    </row>
    <row r="567">
      <c r="A567" s="3">
        <v>89886.0</v>
      </c>
      <c r="B567" s="1" t="s">
        <v>1979</v>
      </c>
      <c r="C567" s="4">
        <v>46136.009375</v>
      </c>
      <c r="D567" s="1" t="s">
        <v>694</v>
      </c>
      <c r="E567" s="1" t="s">
        <v>1980</v>
      </c>
      <c r="F567" s="3">
        <v>8.517030675E9</v>
      </c>
      <c r="G567" s="1" t="s">
        <v>46</v>
      </c>
      <c r="H567" s="1" t="s">
        <v>63</v>
      </c>
      <c r="I567" s="1" t="s">
        <v>97</v>
      </c>
      <c r="J567" s="1" t="s">
        <v>133</v>
      </c>
    </row>
    <row r="568">
      <c r="A568" s="3">
        <v>89887.0</v>
      </c>
      <c r="B568" s="1" t="s">
        <v>1981</v>
      </c>
      <c r="C568" s="4">
        <v>46136.016435185185</v>
      </c>
      <c r="D568" s="1" t="s">
        <v>690</v>
      </c>
      <c r="E568" s="1" t="s">
        <v>1982</v>
      </c>
      <c r="F568" s="3">
        <v>9.137337518E9</v>
      </c>
      <c r="G568" s="1" t="s">
        <v>46</v>
      </c>
      <c r="H568" s="1" t="s">
        <v>63</v>
      </c>
      <c r="I568" s="1" t="s">
        <v>862</v>
      </c>
      <c r="J568" s="1" t="s">
        <v>43</v>
      </c>
    </row>
    <row r="569">
      <c r="A569" s="3">
        <v>89888.0</v>
      </c>
      <c r="B569" s="1" t="s">
        <v>1983</v>
      </c>
      <c r="C569" s="4">
        <v>46136.10270833333</v>
      </c>
      <c r="D569" s="1" t="s">
        <v>694</v>
      </c>
      <c r="E569" s="7"/>
      <c r="F569" s="7"/>
      <c r="G569" s="1" t="s">
        <v>46</v>
      </c>
      <c r="H569" s="1" t="s">
        <v>53</v>
      </c>
      <c r="I569" s="1" t="s">
        <v>611</v>
      </c>
      <c r="J569" s="1" t="s">
        <v>43</v>
      </c>
    </row>
    <row r="570">
      <c r="A570" s="3">
        <v>89889.0</v>
      </c>
      <c r="B570" s="1" t="s">
        <v>1984</v>
      </c>
      <c r="C570" s="4">
        <v>46136.36785879629</v>
      </c>
      <c r="D570" s="1" t="s">
        <v>690</v>
      </c>
      <c r="E570" s="1" t="s">
        <v>1985</v>
      </c>
      <c r="F570" s="3">
        <v>7.601829102E9</v>
      </c>
      <c r="G570" s="1" t="s">
        <v>46</v>
      </c>
      <c r="H570" s="1" t="s">
        <v>235</v>
      </c>
      <c r="I570" s="1" t="s">
        <v>1986</v>
      </c>
      <c r="J570" s="1" t="s">
        <v>43</v>
      </c>
    </row>
    <row r="571">
      <c r="A571" s="3">
        <v>89890.0</v>
      </c>
      <c r="B571" s="1" t="s">
        <v>1987</v>
      </c>
      <c r="C571" s="4">
        <v>46136.396886574075</v>
      </c>
      <c r="D571" s="1" t="s">
        <v>694</v>
      </c>
      <c r="E571" s="1" t="s">
        <v>1988</v>
      </c>
      <c r="F571" s="3">
        <v>9.845487459E9</v>
      </c>
      <c r="G571" s="1" t="s">
        <v>46</v>
      </c>
      <c r="H571" s="1" t="s">
        <v>152</v>
      </c>
      <c r="I571" s="1" t="s">
        <v>151</v>
      </c>
      <c r="J571" s="1" t="s">
        <v>43</v>
      </c>
    </row>
    <row r="572">
      <c r="A572" s="3">
        <v>89891.0</v>
      </c>
      <c r="B572" s="1" t="s">
        <v>1989</v>
      </c>
      <c r="C572" s="4">
        <v>46136.41248842593</v>
      </c>
      <c r="D572" s="1" t="s">
        <v>694</v>
      </c>
      <c r="E572" s="1" t="s">
        <v>1990</v>
      </c>
      <c r="F572" s="3">
        <v>9.147034024E9</v>
      </c>
      <c r="G572" s="1" t="s">
        <v>46</v>
      </c>
      <c r="H572" s="1" t="s">
        <v>140</v>
      </c>
      <c r="I572" s="1" t="s">
        <v>823</v>
      </c>
      <c r="J572" s="1" t="s">
        <v>283</v>
      </c>
    </row>
    <row r="573">
      <c r="A573" s="3">
        <v>89892.0</v>
      </c>
      <c r="B573" s="1" t="s">
        <v>1991</v>
      </c>
      <c r="C573" s="4">
        <v>46136.45579861111</v>
      </c>
      <c r="D573" s="1" t="s">
        <v>690</v>
      </c>
      <c r="E573" s="1" t="s">
        <v>1992</v>
      </c>
      <c r="F573" s="3">
        <v>7.490840023E9</v>
      </c>
      <c r="G573" s="1" t="s">
        <v>46</v>
      </c>
      <c r="H573" s="1" t="s">
        <v>198</v>
      </c>
      <c r="I573" s="1" t="s">
        <v>1993</v>
      </c>
      <c r="J573" s="1" t="s">
        <v>43</v>
      </c>
    </row>
    <row r="574">
      <c r="A574" s="3">
        <v>89893.0</v>
      </c>
      <c r="B574" s="1" t="s">
        <v>1994</v>
      </c>
      <c r="C574" s="4">
        <v>46136.46815972222</v>
      </c>
      <c r="D574" s="1" t="s">
        <v>694</v>
      </c>
      <c r="E574" s="1" t="s">
        <v>1995</v>
      </c>
      <c r="F574" s="7" t="str">
        <f>+91 82798 01701</f>
        <v>#ERROR!</v>
      </c>
      <c r="G574" s="1" t="s">
        <v>46</v>
      </c>
      <c r="H574" s="1" t="s">
        <v>182</v>
      </c>
      <c r="I574" s="1" t="s">
        <v>1996</v>
      </c>
      <c r="J574" s="1" t="s">
        <v>43</v>
      </c>
    </row>
    <row r="575">
      <c r="A575" s="3">
        <v>89894.0</v>
      </c>
      <c r="B575" s="1" t="s">
        <v>1997</v>
      </c>
      <c r="C575" s="4">
        <v>46136.485763888886</v>
      </c>
      <c r="D575" s="1" t="s">
        <v>694</v>
      </c>
      <c r="E575" s="7"/>
      <c r="F575" s="7"/>
      <c r="G575" s="1" t="s">
        <v>46</v>
      </c>
      <c r="H575" s="1" t="s">
        <v>104</v>
      </c>
      <c r="I575" s="1" t="s">
        <v>103</v>
      </c>
      <c r="J575" s="1" t="s">
        <v>133</v>
      </c>
    </row>
    <row r="576">
      <c r="A576" s="3">
        <v>89915.0</v>
      </c>
      <c r="B576" s="1" t="s">
        <v>1998</v>
      </c>
      <c r="C576" s="4">
        <v>46136.599328703705</v>
      </c>
      <c r="D576" s="1" t="s">
        <v>690</v>
      </c>
      <c r="E576" s="1" t="s">
        <v>1999</v>
      </c>
      <c r="F576" s="3">
        <v>7.036501956E9</v>
      </c>
      <c r="G576" s="1" t="s">
        <v>46</v>
      </c>
      <c r="H576" s="1" t="s">
        <v>152</v>
      </c>
      <c r="I576" s="1" t="s">
        <v>151</v>
      </c>
      <c r="J576" s="1" t="s">
        <v>133</v>
      </c>
    </row>
    <row r="577">
      <c r="A577" s="3">
        <v>89916.0</v>
      </c>
      <c r="B577" s="1" t="s">
        <v>2000</v>
      </c>
      <c r="C577" s="4">
        <v>46136.60215277778</v>
      </c>
      <c r="D577" s="1" t="s">
        <v>694</v>
      </c>
      <c r="E577" s="1" t="s">
        <v>2001</v>
      </c>
      <c r="F577" s="3">
        <v>8.000343864E9</v>
      </c>
      <c r="G577" s="1" t="s">
        <v>46</v>
      </c>
      <c r="H577" s="1" t="s">
        <v>235</v>
      </c>
      <c r="I577" s="1" t="s">
        <v>2002</v>
      </c>
      <c r="J577" s="1" t="s">
        <v>43</v>
      </c>
    </row>
    <row r="578">
      <c r="A578" s="3">
        <v>89917.0</v>
      </c>
      <c r="B578" s="1" t="s">
        <v>2003</v>
      </c>
      <c r="C578" s="4">
        <v>46136.63349537037</v>
      </c>
      <c r="D578" s="1" t="s">
        <v>690</v>
      </c>
      <c r="E578" s="1" t="s">
        <v>2004</v>
      </c>
      <c r="F578" s="3">
        <v>7.776017751E9</v>
      </c>
      <c r="G578" s="1" t="s">
        <v>46</v>
      </c>
      <c r="H578" s="1" t="s">
        <v>203</v>
      </c>
      <c r="I578" s="1" t="s">
        <v>539</v>
      </c>
      <c r="J578" s="1" t="s">
        <v>283</v>
      </c>
    </row>
    <row r="579">
      <c r="A579" s="3">
        <v>89918.0</v>
      </c>
      <c r="B579" s="1" t="s">
        <v>2005</v>
      </c>
      <c r="C579" s="4">
        <v>46136.63491898148</v>
      </c>
      <c r="D579" s="1" t="s">
        <v>690</v>
      </c>
      <c r="E579" s="1" t="s">
        <v>2006</v>
      </c>
      <c r="F579" s="3">
        <v>8.9567937E7</v>
      </c>
      <c r="G579" s="1" t="s">
        <v>46</v>
      </c>
      <c r="H579" s="1" t="s">
        <v>203</v>
      </c>
      <c r="I579" s="1" t="s">
        <v>539</v>
      </c>
      <c r="J579" s="1" t="s">
        <v>283</v>
      </c>
    </row>
    <row r="580">
      <c r="A580" s="3">
        <v>89919.0</v>
      </c>
      <c r="B580" s="1" t="s">
        <v>2007</v>
      </c>
      <c r="C580" s="4">
        <v>46136.6544212963</v>
      </c>
      <c r="D580" s="1" t="s">
        <v>694</v>
      </c>
      <c r="E580" s="1" t="s">
        <v>2008</v>
      </c>
      <c r="F580" s="3">
        <v>9.425625548E9</v>
      </c>
      <c r="G580" s="1" t="s">
        <v>46</v>
      </c>
      <c r="H580" s="1" t="s">
        <v>203</v>
      </c>
      <c r="I580" s="1" t="s">
        <v>407</v>
      </c>
      <c r="J580" s="1" t="s">
        <v>43</v>
      </c>
    </row>
    <row r="581">
      <c r="A581" s="3">
        <v>89921.0</v>
      </c>
      <c r="B581" s="1" t="s">
        <v>1747</v>
      </c>
      <c r="C581" s="4">
        <v>46136.65702546296</v>
      </c>
      <c r="D581" s="1" t="s">
        <v>694</v>
      </c>
      <c r="E581" s="1" t="s">
        <v>2009</v>
      </c>
      <c r="F581" s="3">
        <v>8.210925133E9</v>
      </c>
      <c r="G581" s="1" t="s">
        <v>46</v>
      </c>
      <c r="H581" s="1" t="s">
        <v>152</v>
      </c>
      <c r="I581" s="1" t="s">
        <v>151</v>
      </c>
      <c r="J581" s="1" t="s">
        <v>133</v>
      </c>
    </row>
    <row r="582">
      <c r="A582" s="3">
        <v>89922.0</v>
      </c>
      <c r="B582" s="1" t="s">
        <v>2010</v>
      </c>
      <c r="C582" s="4">
        <v>46136.705717592595</v>
      </c>
      <c r="D582" s="1" t="s">
        <v>694</v>
      </c>
      <c r="E582" s="1" t="s">
        <v>2011</v>
      </c>
      <c r="F582" s="3">
        <v>7.219301428E9</v>
      </c>
      <c r="G582" s="1" t="s">
        <v>46</v>
      </c>
      <c r="H582" s="1" t="s">
        <v>63</v>
      </c>
      <c r="I582" s="1" t="s">
        <v>2012</v>
      </c>
      <c r="J582" s="1" t="s">
        <v>43</v>
      </c>
    </row>
    <row r="583">
      <c r="A583" s="3">
        <v>89923.0</v>
      </c>
      <c r="B583" s="1" t="s">
        <v>2013</v>
      </c>
      <c r="C583" s="4">
        <v>46136.74596064815</v>
      </c>
      <c r="D583" s="1" t="s">
        <v>690</v>
      </c>
      <c r="E583" s="1" t="s">
        <v>2014</v>
      </c>
      <c r="F583" s="3">
        <v>9.966613102E9</v>
      </c>
      <c r="G583" s="1" t="s">
        <v>46</v>
      </c>
      <c r="H583" s="1" t="s">
        <v>104</v>
      </c>
      <c r="I583" s="1" t="s">
        <v>103</v>
      </c>
      <c r="J583" s="1" t="s">
        <v>43</v>
      </c>
    </row>
    <row r="584">
      <c r="A584" s="3">
        <v>89924.0</v>
      </c>
      <c r="B584" s="1" t="s">
        <v>2015</v>
      </c>
      <c r="C584" s="4">
        <v>46136.761041666665</v>
      </c>
      <c r="D584" s="1" t="s">
        <v>690</v>
      </c>
      <c r="E584" s="1" t="s">
        <v>2016</v>
      </c>
      <c r="F584" s="3">
        <v>9.823116951E9</v>
      </c>
      <c r="G584" s="1" t="s">
        <v>46</v>
      </c>
      <c r="H584" s="1" t="s">
        <v>63</v>
      </c>
      <c r="I584" s="1" t="s">
        <v>97</v>
      </c>
      <c r="J584" s="1" t="s">
        <v>133</v>
      </c>
    </row>
    <row r="585">
      <c r="A585" s="3">
        <v>89925.0</v>
      </c>
      <c r="B585" s="1" t="s">
        <v>2017</v>
      </c>
      <c r="C585" s="4">
        <v>46136.7762037037</v>
      </c>
      <c r="D585" s="1" t="s">
        <v>694</v>
      </c>
      <c r="E585" s="1" t="s">
        <v>2018</v>
      </c>
      <c r="F585" s="3">
        <v>9.464172011E9</v>
      </c>
      <c r="G585" s="1" t="s">
        <v>46</v>
      </c>
      <c r="H585" s="1" t="s">
        <v>45</v>
      </c>
      <c r="I585" s="1" t="s">
        <v>2019</v>
      </c>
      <c r="J585" s="7"/>
      <c r="K585" s="7"/>
    </row>
    <row r="586">
      <c r="A586" s="3">
        <v>89926.0</v>
      </c>
      <c r="B586" s="1" t="s">
        <v>2020</v>
      </c>
      <c r="C586" s="4">
        <v>46136.81715277778</v>
      </c>
      <c r="D586" s="1" t="s">
        <v>694</v>
      </c>
      <c r="E586" s="1" t="s">
        <v>2021</v>
      </c>
      <c r="F586" s="3">
        <v>8.247361503E9</v>
      </c>
      <c r="G586" s="1" t="s">
        <v>46</v>
      </c>
      <c r="H586" s="1" t="s">
        <v>104</v>
      </c>
      <c r="I586" s="1" t="s">
        <v>103</v>
      </c>
      <c r="J586" s="1" t="s">
        <v>43</v>
      </c>
    </row>
    <row r="587">
      <c r="A587" s="3">
        <v>89927.0</v>
      </c>
      <c r="B587" s="1" t="s">
        <v>2022</v>
      </c>
      <c r="C587" s="4">
        <v>46136.82640046296</v>
      </c>
      <c r="D587" s="1" t="s">
        <v>694</v>
      </c>
      <c r="E587" s="7"/>
      <c r="F587" s="7"/>
      <c r="G587" s="1" t="s">
        <v>46</v>
      </c>
      <c r="H587" s="1" t="s">
        <v>241</v>
      </c>
      <c r="I587" s="1" t="s">
        <v>275</v>
      </c>
      <c r="J587" s="1" t="s">
        <v>43</v>
      </c>
    </row>
    <row r="588">
      <c r="A588" s="3">
        <v>89928.0</v>
      </c>
      <c r="B588" s="1" t="s">
        <v>2023</v>
      </c>
      <c r="C588" s="4">
        <v>46136.91216435185</v>
      </c>
      <c r="D588" s="1" t="s">
        <v>694</v>
      </c>
      <c r="E588" s="1" t="s">
        <v>2024</v>
      </c>
      <c r="F588" s="3">
        <v>9.845663275E9</v>
      </c>
      <c r="G588" s="1" t="s">
        <v>46</v>
      </c>
      <c r="H588" s="1" t="s">
        <v>152</v>
      </c>
      <c r="I588" s="1" t="s">
        <v>2025</v>
      </c>
      <c r="J588" s="1" t="s">
        <v>43</v>
      </c>
    </row>
    <row r="589">
      <c r="A589" s="3">
        <v>89929.0</v>
      </c>
      <c r="B589" s="1" t="s">
        <v>2026</v>
      </c>
      <c r="C589" s="4">
        <v>46136.92768518518</v>
      </c>
      <c r="D589" s="1" t="s">
        <v>694</v>
      </c>
      <c r="E589" s="1" t="s">
        <v>2027</v>
      </c>
      <c r="F589" s="3">
        <v>9.990235408E9</v>
      </c>
      <c r="G589" s="1" t="s">
        <v>2028</v>
      </c>
      <c r="H589" s="1" t="s">
        <v>2028</v>
      </c>
      <c r="I589" s="1" t="s">
        <v>2028</v>
      </c>
      <c r="J589" s="1" t="s">
        <v>43</v>
      </c>
    </row>
    <row r="590">
      <c r="A590" s="3">
        <v>89930.0</v>
      </c>
      <c r="B590" s="1" t="s">
        <v>2029</v>
      </c>
      <c r="C590" s="4">
        <v>46136.95087962963</v>
      </c>
      <c r="D590" s="1" t="s">
        <v>690</v>
      </c>
      <c r="E590" s="1" t="s">
        <v>2030</v>
      </c>
      <c r="F590" s="3">
        <v>6.398354152E9</v>
      </c>
      <c r="G590" s="1" t="s">
        <v>46</v>
      </c>
      <c r="H590" s="1" t="s">
        <v>152</v>
      </c>
      <c r="I590" s="1" t="s">
        <v>151</v>
      </c>
      <c r="J590" s="1" t="s">
        <v>43</v>
      </c>
    </row>
    <row r="591">
      <c r="A591" s="3">
        <v>89931.0</v>
      </c>
      <c r="B591" s="1" t="s">
        <v>2031</v>
      </c>
      <c r="C591" s="4">
        <v>46136.96068287037</v>
      </c>
      <c r="D591" s="1" t="s">
        <v>694</v>
      </c>
      <c r="E591" s="1" t="s">
        <v>2032</v>
      </c>
      <c r="F591" s="10">
        <v>9.1827E11</v>
      </c>
      <c r="G591" s="1" t="s">
        <v>46</v>
      </c>
      <c r="H591" s="1" t="s">
        <v>53</v>
      </c>
      <c r="I591" s="1" t="s">
        <v>568</v>
      </c>
      <c r="J591" s="1" t="s">
        <v>43</v>
      </c>
    </row>
    <row r="592">
      <c r="A592" s="3">
        <v>89932.0</v>
      </c>
      <c r="B592" s="1" t="s">
        <v>2033</v>
      </c>
      <c r="C592" s="4">
        <v>46136.9971875</v>
      </c>
      <c r="D592" s="1" t="s">
        <v>694</v>
      </c>
      <c r="E592" s="1" t="s">
        <v>2034</v>
      </c>
      <c r="F592" s="3">
        <v>7.639286339E9</v>
      </c>
      <c r="G592" s="1" t="s">
        <v>46</v>
      </c>
      <c r="H592" s="1" t="s">
        <v>118</v>
      </c>
      <c r="I592" s="1" t="s">
        <v>473</v>
      </c>
      <c r="J592" s="1" t="s">
        <v>43</v>
      </c>
    </row>
    <row r="593">
      <c r="A593" s="3">
        <v>89933.0</v>
      </c>
      <c r="B593" s="1" t="s">
        <v>2035</v>
      </c>
      <c r="C593" s="4">
        <v>46137.05331018518</v>
      </c>
      <c r="D593" s="1" t="s">
        <v>694</v>
      </c>
      <c r="E593" s="1" t="s">
        <v>2036</v>
      </c>
      <c r="F593" s="3">
        <v>8.167068731E9</v>
      </c>
      <c r="G593" s="1" t="s">
        <v>46</v>
      </c>
      <c r="H593" s="1" t="s">
        <v>235</v>
      </c>
      <c r="I593" s="1" t="s">
        <v>873</v>
      </c>
      <c r="J593" s="1" t="s">
        <v>43</v>
      </c>
    </row>
    <row r="594">
      <c r="A594" s="3">
        <v>89934.0</v>
      </c>
      <c r="B594" s="1" t="s">
        <v>2037</v>
      </c>
      <c r="C594" s="4">
        <v>46137.19818287037</v>
      </c>
      <c r="D594" s="1" t="s">
        <v>694</v>
      </c>
      <c r="E594" s="1" t="s">
        <v>2038</v>
      </c>
      <c r="F594" s="3">
        <v>9.100670246E9</v>
      </c>
      <c r="G594" s="1" t="s">
        <v>46</v>
      </c>
      <c r="H594" s="1" t="s">
        <v>104</v>
      </c>
      <c r="I594" s="1" t="s">
        <v>103</v>
      </c>
      <c r="J594" s="1" t="s">
        <v>43</v>
      </c>
    </row>
    <row r="595">
      <c r="A595" s="3">
        <v>89935.0</v>
      </c>
      <c r="B595" s="1" t="s">
        <v>2039</v>
      </c>
      <c r="C595" s="4">
        <v>46137.443333333336</v>
      </c>
      <c r="D595" s="1" t="s">
        <v>690</v>
      </c>
      <c r="E595" s="1" t="s">
        <v>2040</v>
      </c>
      <c r="F595" s="3">
        <v>9.9978949E9</v>
      </c>
      <c r="G595" s="1" t="s">
        <v>46</v>
      </c>
      <c r="H595" s="1" t="s">
        <v>53</v>
      </c>
      <c r="I595" s="1" t="s">
        <v>1152</v>
      </c>
      <c r="J595" s="7"/>
      <c r="K595" s="7"/>
    </row>
    <row r="596">
      <c r="A596" s="3">
        <v>89936.0</v>
      </c>
      <c r="B596" s="1" t="s">
        <v>2041</v>
      </c>
      <c r="C596" s="4">
        <v>46137.44782407407</v>
      </c>
      <c r="D596" s="1" t="s">
        <v>694</v>
      </c>
      <c r="E596" s="1" t="s">
        <v>2042</v>
      </c>
      <c r="F596" s="3">
        <v>9.163600892E9</v>
      </c>
      <c r="G596" s="1" t="s">
        <v>46</v>
      </c>
      <c r="H596" s="1" t="s">
        <v>235</v>
      </c>
      <c r="I596" s="1" t="s">
        <v>234</v>
      </c>
      <c r="J596" s="1" t="s">
        <v>43</v>
      </c>
    </row>
    <row r="597">
      <c r="A597" s="3">
        <v>89937.0</v>
      </c>
      <c r="B597" s="1" t="s">
        <v>2043</v>
      </c>
      <c r="C597" s="4">
        <v>46137.45065972222</v>
      </c>
      <c r="D597" s="1" t="s">
        <v>690</v>
      </c>
      <c r="E597" s="1" t="s">
        <v>2044</v>
      </c>
      <c r="F597" s="3">
        <v>9.340617632E9</v>
      </c>
      <c r="G597" s="1" t="s">
        <v>46</v>
      </c>
      <c r="H597" s="1" t="s">
        <v>203</v>
      </c>
      <c r="I597" s="1" t="s">
        <v>2045</v>
      </c>
      <c r="J597" s="1" t="s">
        <v>43</v>
      </c>
    </row>
    <row r="598">
      <c r="A598" s="3">
        <v>89938.0</v>
      </c>
      <c r="B598" s="1" t="s">
        <v>2046</v>
      </c>
      <c r="C598" s="4">
        <v>46137.473703703705</v>
      </c>
      <c r="D598" s="1" t="s">
        <v>694</v>
      </c>
      <c r="E598" s="1" t="s">
        <v>2047</v>
      </c>
      <c r="F598" s="3">
        <v>4.847518575E9</v>
      </c>
      <c r="G598" s="1" t="s">
        <v>294</v>
      </c>
      <c r="H598" s="1" t="s">
        <v>964</v>
      </c>
      <c r="I598" s="1" t="s">
        <v>2048</v>
      </c>
      <c r="J598" s="1" t="s">
        <v>43</v>
      </c>
    </row>
    <row r="599">
      <c r="A599" s="3">
        <v>89939.0</v>
      </c>
      <c r="B599" s="1" t="s">
        <v>2049</v>
      </c>
      <c r="C599" s="4">
        <v>46137.482835648145</v>
      </c>
      <c r="D599" s="1" t="s">
        <v>694</v>
      </c>
      <c r="E599" s="1" t="s">
        <v>2050</v>
      </c>
      <c r="F599" s="3">
        <v>8.6270993E9</v>
      </c>
      <c r="G599" s="1" t="s">
        <v>46</v>
      </c>
      <c r="H599" s="1" t="s">
        <v>63</v>
      </c>
      <c r="I599" s="1" t="s">
        <v>85</v>
      </c>
      <c r="J599" s="1" t="s">
        <v>43</v>
      </c>
    </row>
    <row r="600">
      <c r="A600" s="3">
        <v>89940.0</v>
      </c>
      <c r="B600" s="1" t="s">
        <v>2051</v>
      </c>
      <c r="C600" s="4">
        <v>46137.50078703704</v>
      </c>
      <c r="D600" s="1" t="s">
        <v>694</v>
      </c>
      <c r="E600" s="1" t="s">
        <v>2052</v>
      </c>
      <c r="F600" s="3">
        <v>9.793362479E9</v>
      </c>
      <c r="G600" s="1" t="s">
        <v>46</v>
      </c>
      <c r="H600" s="1" t="s">
        <v>53</v>
      </c>
      <c r="I600" s="1" t="s">
        <v>799</v>
      </c>
      <c r="J600" s="1" t="s">
        <v>43</v>
      </c>
    </row>
    <row r="601">
      <c r="A601" s="3">
        <v>89941.0</v>
      </c>
      <c r="B601" s="1" t="s">
        <v>2053</v>
      </c>
      <c r="C601" s="4">
        <v>46137.51167824074</v>
      </c>
      <c r="D601" s="1" t="s">
        <v>694</v>
      </c>
      <c r="E601" s="1" t="s">
        <v>2054</v>
      </c>
      <c r="F601" s="3">
        <v>9.811066818E9</v>
      </c>
      <c r="G601" s="1" t="s">
        <v>46</v>
      </c>
      <c r="H601" s="1" t="s">
        <v>241</v>
      </c>
      <c r="I601" s="1" t="s">
        <v>275</v>
      </c>
      <c r="J601" s="1" t="s">
        <v>43</v>
      </c>
    </row>
    <row r="602">
      <c r="A602" s="3">
        <v>89942.0</v>
      </c>
      <c r="B602" s="1" t="s">
        <v>2055</v>
      </c>
      <c r="C602" s="4">
        <v>46137.532638888886</v>
      </c>
      <c r="D602" s="1" t="s">
        <v>690</v>
      </c>
      <c r="E602" s="1" t="s">
        <v>2056</v>
      </c>
      <c r="F602" s="3">
        <v>9.155301103E9</v>
      </c>
      <c r="G602" s="1" t="s">
        <v>46</v>
      </c>
      <c r="H602" s="1" t="s">
        <v>498</v>
      </c>
      <c r="I602" s="1" t="s">
        <v>2057</v>
      </c>
      <c r="J602" s="7"/>
      <c r="K602" s="7"/>
    </row>
    <row r="603">
      <c r="A603" s="3">
        <v>89943.0</v>
      </c>
      <c r="B603" s="1" t="s">
        <v>2058</v>
      </c>
      <c r="C603" s="4">
        <v>46137.55422453704</v>
      </c>
      <c r="D603" s="1" t="s">
        <v>694</v>
      </c>
      <c r="E603" s="1" t="s">
        <v>2059</v>
      </c>
      <c r="F603" s="3">
        <v>8.637586651E9</v>
      </c>
      <c r="G603" s="1" t="s">
        <v>46</v>
      </c>
      <c r="H603" s="1" t="s">
        <v>235</v>
      </c>
      <c r="I603" s="1" t="s">
        <v>2060</v>
      </c>
      <c r="J603" s="1" t="s">
        <v>43</v>
      </c>
    </row>
    <row r="604">
      <c r="A604" s="3">
        <v>89944.0</v>
      </c>
      <c r="B604" s="1" t="s">
        <v>2061</v>
      </c>
      <c r="C604" s="4">
        <v>46137.784780092596</v>
      </c>
      <c r="D604" s="1" t="s">
        <v>690</v>
      </c>
      <c r="E604" s="1" t="s">
        <v>2062</v>
      </c>
      <c r="F604" s="3">
        <v>6.397447866E9</v>
      </c>
      <c r="G604" s="1" t="s">
        <v>46</v>
      </c>
      <c r="H604" s="1" t="s">
        <v>53</v>
      </c>
      <c r="I604" s="1" t="s">
        <v>1171</v>
      </c>
      <c r="J604" s="1" t="s">
        <v>43</v>
      </c>
    </row>
    <row r="605">
      <c r="A605" s="3">
        <v>89945.0</v>
      </c>
      <c r="B605" s="1" t="s">
        <v>2063</v>
      </c>
      <c r="C605" s="4">
        <v>46137.84359953704</v>
      </c>
      <c r="D605" s="1" t="s">
        <v>694</v>
      </c>
      <c r="E605" s="1" t="s">
        <v>2064</v>
      </c>
      <c r="F605" s="3">
        <v>8.471097212E9</v>
      </c>
      <c r="G605" s="1" t="s">
        <v>46</v>
      </c>
      <c r="H605" s="1" t="s">
        <v>498</v>
      </c>
      <c r="I605" s="1" t="s">
        <v>2065</v>
      </c>
      <c r="J605" s="1" t="s">
        <v>43</v>
      </c>
    </row>
    <row r="606">
      <c r="A606" s="3">
        <v>89946.0</v>
      </c>
      <c r="B606" s="1" t="s">
        <v>2066</v>
      </c>
      <c r="C606" s="4">
        <v>46137.84407407408</v>
      </c>
      <c r="D606" s="1" t="s">
        <v>694</v>
      </c>
      <c r="E606" s="1" t="s">
        <v>2067</v>
      </c>
      <c r="F606" s="3">
        <v>9.811950833E9</v>
      </c>
      <c r="G606" s="1" t="s">
        <v>46</v>
      </c>
      <c r="H606" s="1" t="s">
        <v>53</v>
      </c>
      <c r="I606" s="1" t="s">
        <v>611</v>
      </c>
      <c r="J606" s="1" t="s">
        <v>43</v>
      </c>
    </row>
    <row r="607">
      <c r="A607" s="3">
        <v>89947.0</v>
      </c>
      <c r="B607" s="1" t="s">
        <v>2068</v>
      </c>
      <c r="C607" s="4">
        <v>46137.89231481482</v>
      </c>
      <c r="D607" s="1" t="s">
        <v>694</v>
      </c>
      <c r="E607" s="1" t="s">
        <v>2069</v>
      </c>
      <c r="F607" s="3">
        <v>9.322694563E9</v>
      </c>
      <c r="G607" s="1" t="s">
        <v>46</v>
      </c>
      <c r="H607" s="1" t="s">
        <v>2070</v>
      </c>
      <c r="I607" s="1" t="s">
        <v>2071</v>
      </c>
      <c r="J607" s="1" t="s">
        <v>43</v>
      </c>
    </row>
    <row r="608">
      <c r="A608" s="3">
        <v>89948.0</v>
      </c>
      <c r="B608" s="1" t="s">
        <v>2072</v>
      </c>
      <c r="C608" s="4">
        <v>46137.922627314816</v>
      </c>
      <c r="D608" s="1" t="s">
        <v>694</v>
      </c>
      <c r="E608" s="1" t="s">
        <v>2073</v>
      </c>
      <c r="F608" s="3">
        <v>9.663085375E9</v>
      </c>
      <c r="G608" s="1" t="s">
        <v>46</v>
      </c>
      <c r="H608" s="1" t="s">
        <v>152</v>
      </c>
      <c r="I608" s="1" t="s">
        <v>151</v>
      </c>
      <c r="J608" s="1" t="s">
        <v>43</v>
      </c>
    </row>
    <row r="609">
      <c r="A609" s="3">
        <v>89949.0</v>
      </c>
      <c r="B609" s="1" t="s">
        <v>2074</v>
      </c>
      <c r="C609" s="4">
        <v>46137.97642361111</v>
      </c>
      <c r="D609" s="1" t="s">
        <v>690</v>
      </c>
      <c r="E609" s="1" t="s">
        <v>2075</v>
      </c>
      <c r="F609" s="10">
        <v>4.478E11</v>
      </c>
      <c r="G609" s="1" t="s">
        <v>577</v>
      </c>
      <c r="H609" s="1" t="s">
        <v>2076</v>
      </c>
      <c r="I609" s="1" t="s">
        <v>2077</v>
      </c>
      <c r="J609" s="1" t="s">
        <v>43</v>
      </c>
    </row>
    <row r="610">
      <c r="A610" s="3">
        <v>89950.0</v>
      </c>
      <c r="B610" s="1" t="s">
        <v>2078</v>
      </c>
      <c r="C610" s="4">
        <v>46138.022372685184</v>
      </c>
      <c r="D610" s="1" t="s">
        <v>694</v>
      </c>
      <c r="E610" s="1" t="s">
        <v>2079</v>
      </c>
      <c r="F610" s="3">
        <v>9.024464771E9</v>
      </c>
      <c r="G610" s="1" t="s">
        <v>46</v>
      </c>
      <c r="H610" s="1" t="s">
        <v>285</v>
      </c>
      <c r="I610" s="1" t="s">
        <v>284</v>
      </c>
      <c r="J610" s="1" t="s">
        <v>43</v>
      </c>
    </row>
    <row r="611">
      <c r="A611" s="3">
        <v>89951.0</v>
      </c>
      <c r="B611" s="1" t="s">
        <v>2080</v>
      </c>
      <c r="C611" s="4">
        <v>46138.210486111115</v>
      </c>
      <c r="D611" s="1" t="s">
        <v>694</v>
      </c>
      <c r="E611" s="1" t="s">
        <v>2081</v>
      </c>
      <c r="F611" s="10">
        <v>1.6479E10</v>
      </c>
      <c r="G611" s="1" t="s">
        <v>842</v>
      </c>
      <c r="H611" s="1" t="s">
        <v>843</v>
      </c>
      <c r="I611" s="1" t="s">
        <v>844</v>
      </c>
      <c r="J611" s="1" t="s">
        <v>43</v>
      </c>
    </row>
    <row r="612">
      <c r="A612" s="3">
        <v>89952.0</v>
      </c>
      <c r="B612" s="1" t="s">
        <v>2082</v>
      </c>
      <c r="C612" s="4">
        <v>46138.39666666667</v>
      </c>
      <c r="D612" s="1" t="s">
        <v>694</v>
      </c>
      <c r="E612" s="1" t="s">
        <v>2083</v>
      </c>
      <c r="F612" s="3">
        <v>9.971729683E9</v>
      </c>
      <c r="G612" s="1" t="s">
        <v>46</v>
      </c>
      <c r="H612" s="1" t="s">
        <v>124</v>
      </c>
      <c r="I612" s="1" t="s">
        <v>315</v>
      </c>
      <c r="J612" s="1" t="s">
        <v>43</v>
      </c>
    </row>
    <row r="613">
      <c r="A613" s="3">
        <v>89957.0</v>
      </c>
      <c r="B613" s="1" t="s">
        <v>2084</v>
      </c>
      <c r="C613" s="4">
        <v>46138.52081018518</v>
      </c>
      <c r="D613" s="1" t="s">
        <v>690</v>
      </c>
      <c r="E613" s="1" t="s">
        <v>2085</v>
      </c>
      <c r="F613" s="3">
        <v>7.388540672E9</v>
      </c>
      <c r="G613" s="1" t="s">
        <v>46</v>
      </c>
      <c r="H613" s="1" t="s">
        <v>53</v>
      </c>
      <c r="I613" s="1" t="s">
        <v>2086</v>
      </c>
      <c r="J613" s="1" t="s">
        <v>2087</v>
      </c>
      <c r="K613" s="7"/>
    </row>
    <row r="614">
      <c r="A614" s="3">
        <v>89958.0</v>
      </c>
      <c r="B614" s="1" t="s">
        <v>2088</v>
      </c>
      <c r="C614" s="4">
        <v>46138.52130787037</v>
      </c>
      <c r="D614" s="1" t="s">
        <v>690</v>
      </c>
      <c r="E614" s="1" t="s">
        <v>2089</v>
      </c>
      <c r="F614" s="3">
        <v>8.265938556E9</v>
      </c>
      <c r="G614" s="1" t="s">
        <v>46</v>
      </c>
      <c r="H614" s="1" t="s">
        <v>53</v>
      </c>
      <c r="I614" s="1" t="s">
        <v>727</v>
      </c>
      <c r="J614" s="1" t="s">
        <v>43</v>
      </c>
    </row>
    <row r="615">
      <c r="A615" s="3">
        <v>89959.0</v>
      </c>
      <c r="B615" s="1" t="s">
        <v>2090</v>
      </c>
      <c r="C615" s="4">
        <v>46138.53600694444</v>
      </c>
      <c r="D615" s="1" t="s">
        <v>694</v>
      </c>
      <c r="E615" s="1" t="s">
        <v>2091</v>
      </c>
      <c r="F615" s="3">
        <v>7.009129903E9</v>
      </c>
      <c r="G615" s="1" t="s">
        <v>46</v>
      </c>
      <c r="H615" s="1" t="s">
        <v>45</v>
      </c>
      <c r="I615" s="1" t="s">
        <v>1422</v>
      </c>
      <c r="J615" s="1" t="s">
        <v>43</v>
      </c>
    </row>
    <row r="616">
      <c r="A616" s="3">
        <v>89960.0</v>
      </c>
      <c r="B616" s="1" t="s">
        <v>2092</v>
      </c>
      <c r="C616" s="4">
        <v>46138.55175925926</v>
      </c>
      <c r="D616" s="1" t="s">
        <v>690</v>
      </c>
      <c r="E616" s="1" t="s">
        <v>2093</v>
      </c>
      <c r="F616" s="3">
        <v>7.73879152E9</v>
      </c>
      <c r="G616" s="1" t="s">
        <v>46</v>
      </c>
      <c r="H616" s="1" t="s">
        <v>63</v>
      </c>
      <c r="I616" s="1" t="s">
        <v>97</v>
      </c>
      <c r="J616" s="1" t="s">
        <v>1682</v>
      </c>
    </row>
    <row r="617">
      <c r="A617" s="3">
        <v>89961.0</v>
      </c>
      <c r="B617" s="1" t="s">
        <v>2094</v>
      </c>
      <c r="C617" s="4">
        <v>46138.587534722225</v>
      </c>
      <c r="D617" s="1" t="s">
        <v>690</v>
      </c>
      <c r="E617" s="1" t="s">
        <v>2095</v>
      </c>
      <c r="F617" s="1" t="s">
        <v>2096</v>
      </c>
      <c r="G617" s="1" t="s">
        <v>46</v>
      </c>
      <c r="H617" s="1" t="s">
        <v>118</v>
      </c>
      <c r="I617" s="1" t="s">
        <v>473</v>
      </c>
      <c r="J617" s="1" t="s">
        <v>43</v>
      </c>
    </row>
    <row r="618">
      <c r="A618" s="3">
        <v>89962.0</v>
      </c>
      <c r="B618" s="1" t="s">
        <v>2097</v>
      </c>
      <c r="C618" s="4">
        <v>46138.61949074074</v>
      </c>
      <c r="D618" s="1" t="s">
        <v>690</v>
      </c>
      <c r="E618" s="1" t="s">
        <v>2098</v>
      </c>
      <c r="F618" s="3">
        <v>7.082180823E9</v>
      </c>
      <c r="G618" s="1" t="s">
        <v>46</v>
      </c>
      <c r="H618" s="1" t="s">
        <v>241</v>
      </c>
      <c r="I618" s="1" t="s">
        <v>275</v>
      </c>
      <c r="J618" s="1" t="s">
        <v>43</v>
      </c>
    </row>
    <row r="619">
      <c r="A619" s="3">
        <v>89966.0</v>
      </c>
      <c r="B619" s="1" t="s">
        <v>2099</v>
      </c>
      <c r="C619" s="4">
        <v>46138.761400462965</v>
      </c>
      <c r="D619" s="1" t="s">
        <v>690</v>
      </c>
      <c r="E619" s="1" t="s">
        <v>2100</v>
      </c>
      <c r="F619" s="3">
        <v>9.596579015E9</v>
      </c>
      <c r="G619" s="1" t="s">
        <v>46</v>
      </c>
      <c r="H619" s="1" t="s">
        <v>352</v>
      </c>
      <c r="I619" s="1" t="s">
        <v>2101</v>
      </c>
      <c r="J619" s="1" t="s">
        <v>43</v>
      </c>
    </row>
    <row r="620">
      <c r="A620" s="3">
        <v>89968.0</v>
      </c>
      <c r="B620" s="1" t="s">
        <v>2102</v>
      </c>
      <c r="C620" s="4">
        <v>46138.77284722222</v>
      </c>
      <c r="D620" s="1" t="s">
        <v>694</v>
      </c>
      <c r="E620" s="1" t="s">
        <v>2103</v>
      </c>
      <c r="F620" s="3">
        <v>9.810021318E9</v>
      </c>
      <c r="G620" s="1" t="s">
        <v>46</v>
      </c>
      <c r="H620" s="1" t="s">
        <v>152</v>
      </c>
      <c r="I620" s="1" t="s">
        <v>151</v>
      </c>
      <c r="J620" s="1" t="s">
        <v>43</v>
      </c>
    </row>
    <row r="621">
      <c r="A621" s="3">
        <v>89969.0</v>
      </c>
      <c r="B621" s="1" t="s">
        <v>2104</v>
      </c>
      <c r="C621" s="4">
        <v>46138.812789351854</v>
      </c>
      <c r="D621" s="1" t="s">
        <v>694</v>
      </c>
      <c r="E621" s="1" t="s">
        <v>2105</v>
      </c>
      <c r="F621" s="3">
        <v>9.8802834E9</v>
      </c>
      <c r="G621" s="1" t="s">
        <v>46</v>
      </c>
      <c r="H621" s="1" t="s">
        <v>152</v>
      </c>
      <c r="I621" s="1" t="s">
        <v>151</v>
      </c>
      <c r="J621" s="1" t="s">
        <v>43</v>
      </c>
    </row>
    <row r="622">
      <c r="A622" s="3">
        <v>89971.0</v>
      </c>
      <c r="B622" s="1" t="s">
        <v>2106</v>
      </c>
      <c r="C622" s="4">
        <v>46138.88719907407</v>
      </c>
      <c r="D622" s="1" t="s">
        <v>694</v>
      </c>
      <c r="E622" s="1" t="s">
        <v>2107</v>
      </c>
      <c r="F622" s="3">
        <v>9.449070832E9</v>
      </c>
      <c r="G622" s="1" t="s">
        <v>46</v>
      </c>
      <c r="H622" s="1" t="s">
        <v>152</v>
      </c>
      <c r="I622" s="1" t="s">
        <v>151</v>
      </c>
      <c r="J622" s="1" t="s">
        <v>43</v>
      </c>
    </row>
    <row r="623">
      <c r="A623" s="3">
        <v>89972.0</v>
      </c>
      <c r="B623" s="1" t="s">
        <v>2108</v>
      </c>
      <c r="C623" s="4">
        <v>46138.94222222222</v>
      </c>
      <c r="D623" s="1" t="s">
        <v>690</v>
      </c>
      <c r="E623" s="7"/>
      <c r="F623" s="7"/>
      <c r="G623" s="1" t="s">
        <v>46</v>
      </c>
      <c r="H623" s="1" t="s">
        <v>235</v>
      </c>
      <c r="I623" s="1" t="s">
        <v>2109</v>
      </c>
      <c r="J623" s="1" t="s">
        <v>43</v>
      </c>
    </row>
    <row r="624">
      <c r="A624" s="3">
        <v>89973.0</v>
      </c>
      <c r="B624" s="1" t="s">
        <v>2110</v>
      </c>
      <c r="C624" s="4">
        <v>46139.02096064815</v>
      </c>
      <c r="D624" s="1" t="s">
        <v>690</v>
      </c>
      <c r="E624" s="1" t="s">
        <v>2111</v>
      </c>
      <c r="F624" s="3">
        <v>6.297332371E9</v>
      </c>
      <c r="G624" s="1" t="s">
        <v>46</v>
      </c>
      <c r="H624" s="1" t="s">
        <v>235</v>
      </c>
      <c r="I624" s="1" t="s">
        <v>234</v>
      </c>
      <c r="J624" s="1" t="s">
        <v>43</v>
      </c>
    </row>
    <row r="625">
      <c r="A625" s="3">
        <v>89974.0</v>
      </c>
      <c r="B625" s="1" t="s">
        <v>2112</v>
      </c>
      <c r="C625" s="4">
        <v>46139.1759375</v>
      </c>
      <c r="D625" s="1" t="s">
        <v>690</v>
      </c>
      <c r="E625" s="1" t="s">
        <v>2113</v>
      </c>
      <c r="F625" s="10">
        <v>9.1879E11</v>
      </c>
      <c r="G625" s="1" t="s">
        <v>294</v>
      </c>
      <c r="H625" s="1" t="s">
        <v>918</v>
      </c>
      <c r="I625" s="1" t="s">
        <v>2114</v>
      </c>
      <c r="J625" s="1" t="s">
        <v>43</v>
      </c>
    </row>
    <row r="626">
      <c r="A626" s="3">
        <v>89975.0</v>
      </c>
      <c r="B626" s="1" t="s">
        <v>2115</v>
      </c>
      <c r="C626" s="4">
        <v>46139.359768518516</v>
      </c>
      <c r="D626" s="1" t="s">
        <v>690</v>
      </c>
      <c r="E626" s="1" t="s">
        <v>2116</v>
      </c>
      <c r="F626" s="3">
        <v>7.328293254E9</v>
      </c>
      <c r="G626" s="1" t="s">
        <v>294</v>
      </c>
      <c r="H626" s="1" t="s">
        <v>1595</v>
      </c>
      <c r="I626" s="1" t="s">
        <v>2117</v>
      </c>
      <c r="J626" s="1" t="s">
        <v>43</v>
      </c>
    </row>
    <row r="627">
      <c r="A627" s="3">
        <v>89976.0</v>
      </c>
      <c r="B627" s="1" t="s">
        <v>2118</v>
      </c>
      <c r="C627" s="4">
        <v>46139.45171296296</v>
      </c>
      <c r="D627" s="1" t="s">
        <v>690</v>
      </c>
      <c r="E627" s="1" t="s">
        <v>2119</v>
      </c>
      <c r="F627" s="3">
        <v>7.016547563E9</v>
      </c>
      <c r="G627" s="1" t="s">
        <v>46</v>
      </c>
      <c r="H627" s="1" t="s">
        <v>198</v>
      </c>
      <c r="I627" s="1" t="s">
        <v>197</v>
      </c>
      <c r="J627" s="1" t="s">
        <v>43</v>
      </c>
    </row>
    <row r="628">
      <c r="A628" s="3">
        <v>89977.0</v>
      </c>
      <c r="B628" s="1" t="s">
        <v>2120</v>
      </c>
      <c r="C628" s="4">
        <v>46139.4546875</v>
      </c>
      <c r="D628" s="1" t="s">
        <v>694</v>
      </c>
      <c r="E628" s="1" t="s">
        <v>2121</v>
      </c>
      <c r="F628" s="3">
        <v>8.754260061E9</v>
      </c>
      <c r="G628" s="1" t="s">
        <v>46</v>
      </c>
      <c r="H628" s="1" t="s">
        <v>152</v>
      </c>
      <c r="I628" s="1" t="s">
        <v>151</v>
      </c>
      <c r="J628" s="1" t="s">
        <v>133</v>
      </c>
    </row>
    <row r="629">
      <c r="A629" s="3">
        <v>89979.0</v>
      </c>
      <c r="B629" s="1" t="s">
        <v>2122</v>
      </c>
      <c r="C629" s="4">
        <v>46139.579305555555</v>
      </c>
      <c r="D629" s="1" t="s">
        <v>694</v>
      </c>
      <c r="E629" s="1" t="s">
        <v>2123</v>
      </c>
      <c r="F629" s="3">
        <v>9.573821483E9</v>
      </c>
      <c r="G629" s="1" t="s">
        <v>46</v>
      </c>
      <c r="H629" s="1" t="s">
        <v>104</v>
      </c>
      <c r="I629" s="1" t="s">
        <v>103</v>
      </c>
      <c r="J629" s="1" t="s">
        <v>133</v>
      </c>
    </row>
    <row r="630">
      <c r="A630" s="3">
        <v>89980.0</v>
      </c>
      <c r="B630" s="1" t="s">
        <v>2124</v>
      </c>
      <c r="C630" s="4">
        <v>46139.59707175926</v>
      </c>
      <c r="D630" s="1" t="s">
        <v>694</v>
      </c>
      <c r="E630" s="1" t="s">
        <v>2125</v>
      </c>
      <c r="F630" s="3">
        <v>7.0079501E9</v>
      </c>
      <c r="G630" s="1" t="s">
        <v>46</v>
      </c>
      <c r="H630" s="1" t="s">
        <v>53</v>
      </c>
      <c r="I630" s="1" t="s">
        <v>381</v>
      </c>
      <c r="J630" s="1" t="s">
        <v>43</v>
      </c>
    </row>
    <row r="631">
      <c r="A631" s="3">
        <v>89981.0</v>
      </c>
      <c r="B631" s="1" t="s">
        <v>2126</v>
      </c>
      <c r="C631" s="4">
        <v>46139.600324074076</v>
      </c>
      <c r="D631" s="1" t="s">
        <v>690</v>
      </c>
      <c r="E631" s="1" t="s">
        <v>2127</v>
      </c>
      <c r="F631" s="3">
        <v>7.000497601E9</v>
      </c>
      <c r="G631" s="1" t="s">
        <v>46</v>
      </c>
      <c r="H631" s="1" t="s">
        <v>203</v>
      </c>
      <c r="I631" s="1" t="s">
        <v>407</v>
      </c>
      <c r="J631" s="1" t="s">
        <v>43</v>
      </c>
    </row>
    <row r="632">
      <c r="A632" s="3">
        <v>89982.0</v>
      </c>
      <c r="B632" s="1" t="s">
        <v>2128</v>
      </c>
      <c r="C632" s="4">
        <v>46139.71094907408</v>
      </c>
      <c r="D632" s="1" t="s">
        <v>694</v>
      </c>
      <c r="E632" s="1" t="s">
        <v>2129</v>
      </c>
      <c r="F632" s="1" t="s">
        <v>2130</v>
      </c>
      <c r="G632" s="1" t="s">
        <v>46</v>
      </c>
      <c r="H632" s="1" t="s">
        <v>241</v>
      </c>
      <c r="I632" s="1" t="s">
        <v>275</v>
      </c>
      <c r="J632" s="1" t="s">
        <v>43</v>
      </c>
    </row>
    <row r="633">
      <c r="A633" s="3">
        <v>89983.0</v>
      </c>
      <c r="B633" s="1" t="s">
        <v>288</v>
      </c>
      <c r="C633" s="4">
        <v>46139.7502662037</v>
      </c>
      <c r="D633" s="1" t="s">
        <v>694</v>
      </c>
      <c r="E633" s="1" t="s">
        <v>2131</v>
      </c>
      <c r="F633" s="3">
        <v>9.001358401E9</v>
      </c>
      <c r="G633" s="1" t="s">
        <v>46</v>
      </c>
      <c r="H633" s="1" t="s">
        <v>285</v>
      </c>
      <c r="I633" s="1" t="s">
        <v>284</v>
      </c>
      <c r="J633" s="1" t="s">
        <v>43</v>
      </c>
    </row>
    <row r="634">
      <c r="A634" s="3">
        <v>89984.0</v>
      </c>
      <c r="B634" s="1" t="s">
        <v>2132</v>
      </c>
      <c r="C634" s="4">
        <v>46139.769467592596</v>
      </c>
      <c r="D634" s="1" t="s">
        <v>690</v>
      </c>
      <c r="E634" s="1" t="s">
        <v>2133</v>
      </c>
      <c r="F634" s="3">
        <v>9.315987758E9</v>
      </c>
      <c r="G634" s="1" t="s">
        <v>46</v>
      </c>
      <c r="H634" s="1" t="s">
        <v>241</v>
      </c>
      <c r="I634" s="1" t="s">
        <v>275</v>
      </c>
      <c r="J634" s="1" t="s">
        <v>468</v>
      </c>
    </row>
    <row r="635">
      <c r="A635" s="3">
        <v>89985.0</v>
      </c>
      <c r="B635" s="1" t="s">
        <v>2134</v>
      </c>
      <c r="C635" s="4">
        <v>46139.78674768518</v>
      </c>
      <c r="D635" s="1" t="s">
        <v>690</v>
      </c>
      <c r="E635" s="1" t="s">
        <v>2135</v>
      </c>
      <c r="F635" s="3">
        <v>9.102584666E9</v>
      </c>
      <c r="G635" s="1" t="s">
        <v>46</v>
      </c>
      <c r="H635" s="1" t="s">
        <v>241</v>
      </c>
      <c r="I635" s="1" t="s">
        <v>275</v>
      </c>
      <c r="J635" s="1" t="s">
        <v>43</v>
      </c>
    </row>
    <row r="636">
      <c r="A636" s="3">
        <v>89986.0</v>
      </c>
      <c r="B636" s="1" t="s">
        <v>2136</v>
      </c>
      <c r="C636" s="4">
        <v>46139.79362268518</v>
      </c>
      <c r="D636" s="1" t="s">
        <v>690</v>
      </c>
      <c r="E636" s="1" t="s">
        <v>2137</v>
      </c>
      <c r="F636" s="3">
        <v>8.669400756E9</v>
      </c>
      <c r="G636" s="1" t="s">
        <v>46</v>
      </c>
      <c r="H636" s="1" t="s">
        <v>63</v>
      </c>
      <c r="I636" s="1" t="s">
        <v>85</v>
      </c>
      <c r="J636" s="1" t="s">
        <v>43</v>
      </c>
    </row>
    <row r="637">
      <c r="A637" s="3">
        <v>89987.0</v>
      </c>
      <c r="B637" s="1" t="s">
        <v>2138</v>
      </c>
      <c r="C637" s="4">
        <v>46139.817662037036</v>
      </c>
      <c r="D637" s="1" t="s">
        <v>694</v>
      </c>
      <c r="E637" s="1" t="s">
        <v>2139</v>
      </c>
      <c r="F637" s="3">
        <v>7.814744777E9</v>
      </c>
      <c r="G637" s="1" t="s">
        <v>46</v>
      </c>
      <c r="H637" s="1" t="s">
        <v>63</v>
      </c>
      <c r="I637" s="1" t="s">
        <v>97</v>
      </c>
      <c r="J637" s="1" t="s">
        <v>43</v>
      </c>
    </row>
    <row r="638">
      <c r="A638" s="3">
        <v>89988.0</v>
      </c>
      <c r="B638" s="1" t="s">
        <v>2140</v>
      </c>
      <c r="C638" s="4">
        <v>46139.833344907405</v>
      </c>
      <c r="D638" s="1" t="s">
        <v>694</v>
      </c>
      <c r="E638" s="1" t="s">
        <v>2141</v>
      </c>
      <c r="F638" s="3">
        <v>9.004758027E9</v>
      </c>
      <c r="G638" s="1" t="s">
        <v>46</v>
      </c>
      <c r="H638" s="1" t="s">
        <v>152</v>
      </c>
      <c r="I638" s="1" t="s">
        <v>151</v>
      </c>
      <c r="J638" s="1" t="s">
        <v>43</v>
      </c>
    </row>
    <row r="639">
      <c r="A639" s="3">
        <v>89989.0</v>
      </c>
      <c r="B639" s="1" t="s">
        <v>2142</v>
      </c>
      <c r="C639" s="4">
        <v>46139.88921296296</v>
      </c>
      <c r="D639" s="1" t="s">
        <v>690</v>
      </c>
      <c r="E639" s="1" t="s">
        <v>2143</v>
      </c>
      <c r="F639" s="3">
        <v>9.156467421E9</v>
      </c>
      <c r="G639" s="1" t="s">
        <v>46</v>
      </c>
      <c r="H639" s="1" t="s">
        <v>63</v>
      </c>
      <c r="I639" s="1" t="s">
        <v>2144</v>
      </c>
      <c r="J639" s="7"/>
      <c r="K639" s="7"/>
    </row>
    <row r="640">
      <c r="A640" s="3">
        <v>89990.0</v>
      </c>
      <c r="B640" s="1" t="s">
        <v>2145</v>
      </c>
      <c r="C640" s="4">
        <v>46140.20233796296</v>
      </c>
      <c r="D640" s="1" t="s">
        <v>694</v>
      </c>
      <c r="E640" s="1" t="s">
        <v>2146</v>
      </c>
      <c r="F640" s="3">
        <v>7.903230239E9</v>
      </c>
      <c r="G640" s="1" t="s">
        <v>46</v>
      </c>
      <c r="H640" s="1" t="s">
        <v>241</v>
      </c>
      <c r="I640" s="1" t="s">
        <v>275</v>
      </c>
      <c r="J640" s="1" t="s">
        <v>43</v>
      </c>
    </row>
    <row r="641">
      <c r="A641" s="3">
        <v>89991.0</v>
      </c>
      <c r="B641" s="1" t="s">
        <v>2147</v>
      </c>
      <c r="C641" s="4">
        <v>46140.26736111111</v>
      </c>
      <c r="D641" s="1" t="s">
        <v>690</v>
      </c>
      <c r="E641" s="1" t="s">
        <v>2148</v>
      </c>
      <c r="F641" s="3">
        <v>9.618556915E9</v>
      </c>
      <c r="G641" s="1" t="s">
        <v>46</v>
      </c>
      <c r="H641" s="1" t="s">
        <v>104</v>
      </c>
      <c r="I641" s="1" t="s">
        <v>2149</v>
      </c>
      <c r="J641" s="1" t="s">
        <v>43</v>
      </c>
    </row>
    <row r="642">
      <c r="A642" s="3">
        <v>89992.0</v>
      </c>
      <c r="B642" s="1" t="s">
        <v>2150</v>
      </c>
      <c r="C642" s="4">
        <v>46140.310069444444</v>
      </c>
      <c r="D642" s="1" t="s">
        <v>690</v>
      </c>
      <c r="E642" s="1" t="s">
        <v>2151</v>
      </c>
      <c r="F642" s="3">
        <v>9.631961911E9</v>
      </c>
      <c r="G642" s="1" t="s">
        <v>46</v>
      </c>
      <c r="H642" s="1" t="s">
        <v>53</v>
      </c>
      <c r="I642" s="1" t="s">
        <v>712</v>
      </c>
      <c r="J642" s="1" t="s">
        <v>43</v>
      </c>
    </row>
    <row r="643">
      <c r="A643" s="3">
        <v>89993.0</v>
      </c>
      <c r="B643" s="1" t="s">
        <v>2152</v>
      </c>
      <c r="C643" s="4">
        <v>46140.37515046296</v>
      </c>
      <c r="D643" s="1" t="s">
        <v>694</v>
      </c>
      <c r="E643" s="1" t="s">
        <v>2153</v>
      </c>
      <c r="F643" s="3">
        <v>8.454962617E9</v>
      </c>
      <c r="G643" s="1" t="s">
        <v>46</v>
      </c>
      <c r="H643" s="1" t="s">
        <v>63</v>
      </c>
      <c r="I643" s="1" t="s">
        <v>85</v>
      </c>
      <c r="J643" s="1" t="s">
        <v>43</v>
      </c>
    </row>
    <row r="644">
      <c r="A644" s="3">
        <v>89995.0</v>
      </c>
      <c r="B644" s="1" t="s">
        <v>2154</v>
      </c>
      <c r="C644" s="4">
        <v>46140.417916666665</v>
      </c>
      <c r="D644" s="1" t="s">
        <v>694</v>
      </c>
      <c r="E644" s="1" t="s">
        <v>2155</v>
      </c>
      <c r="F644" s="3">
        <v>9.901188903E9</v>
      </c>
      <c r="G644" s="1" t="s">
        <v>46</v>
      </c>
      <c r="H644" s="1" t="s">
        <v>152</v>
      </c>
      <c r="I644" s="1" t="s">
        <v>151</v>
      </c>
      <c r="J644" s="1" t="s">
        <v>43</v>
      </c>
    </row>
    <row r="645">
      <c r="A645" s="3">
        <v>89996.0</v>
      </c>
      <c r="B645" s="1" t="s">
        <v>2156</v>
      </c>
      <c r="C645" s="4">
        <v>46140.42695601852</v>
      </c>
      <c r="D645" s="1" t="s">
        <v>694</v>
      </c>
      <c r="E645" s="1" t="s">
        <v>2157</v>
      </c>
      <c r="F645" s="3">
        <v>6.363223354E9</v>
      </c>
      <c r="G645" s="1" t="s">
        <v>46</v>
      </c>
      <c r="H645" s="1" t="s">
        <v>152</v>
      </c>
      <c r="I645" s="1" t="s">
        <v>151</v>
      </c>
      <c r="J645" s="1" t="s">
        <v>43</v>
      </c>
    </row>
    <row r="646">
      <c r="A646" s="3">
        <v>89997.0</v>
      </c>
      <c r="B646" s="1" t="s">
        <v>2158</v>
      </c>
      <c r="C646" s="4">
        <v>46140.42832175926</v>
      </c>
      <c r="D646" s="1" t="s">
        <v>694</v>
      </c>
      <c r="E646" s="1" t="s">
        <v>2159</v>
      </c>
      <c r="F646" s="3">
        <v>9.466539383E9</v>
      </c>
      <c r="G646" s="1" t="s">
        <v>46</v>
      </c>
      <c r="H646" s="1" t="s">
        <v>124</v>
      </c>
      <c r="I646" s="1" t="s">
        <v>2160</v>
      </c>
      <c r="J646" s="1" t="s">
        <v>43</v>
      </c>
    </row>
    <row r="647">
      <c r="A647" s="3">
        <v>89998.0</v>
      </c>
      <c r="B647" s="1" t="s">
        <v>2161</v>
      </c>
      <c r="C647" s="4">
        <v>46140.443020833336</v>
      </c>
      <c r="D647" s="1" t="s">
        <v>690</v>
      </c>
      <c r="E647" s="1" t="s">
        <v>2162</v>
      </c>
      <c r="F647" s="3">
        <v>7.047823637E9</v>
      </c>
      <c r="G647" s="1" t="s">
        <v>46</v>
      </c>
      <c r="H647" s="1" t="s">
        <v>235</v>
      </c>
      <c r="I647" s="1" t="s">
        <v>1986</v>
      </c>
      <c r="J647" s="1" t="s">
        <v>43</v>
      </c>
    </row>
    <row r="648">
      <c r="A648" s="3">
        <v>89999.0</v>
      </c>
      <c r="B648" s="1" t="s">
        <v>2163</v>
      </c>
      <c r="C648" s="4">
        <v>46140.48701388889</v>
      </c>
      <c r="D648" s="1" t="s">
        <v>690</v>
      </c>
      <c r="E648" s="1" t="s">
        <v>2164</v>
      </c>
      <c r="F648" s="3">
        <v>9.686406679E9</v>
      </c>
      <c r="G648" s="1" t="s">
        <v>46</v>
      </c>
      <c r="H648" s="1" t="s">
        <v>152</v>
      </c>
      <c r="I648" s="1" t="s">
        <v>151</v>
      </c>
      <c r="J648" s="1" t="s">
        <v>43</v>
      </c>
    </row>
    <row r="649">
      <c r="A649" s="3">
        <v>90000.0</v>
      </c>
      <c r="B649" s="1" t="s">
        <v>2165</v>
      </c>
      <c r="C649" s="4">
        <v>46140.57886574074</v>
      </c>
      <c r="E649" s="1" t="s">
        <v>2166</v>
      </c>
      <c r="F649" s="3">
        <v>7.0833841E9</v>
      </c>
      <c r="G649" s="7"/>
      <c r="H649" s="7"/>
      <c r="I649" s="7"/>
      <c r="J649" s="1" t="s">
        <v>2167</v>
      </c>
    </row>
    <row r="650">
      <c r="A650" s="3">
        <v>90002.0</v>
      </c>
      <c r="B650" s="1" t="s">
        <v>2168</v>
      </c>
      <c r="C650" s="4">
        <v>46140.69228009259</v>
      </c>
      <c r="D650" s="1" t="s">
        <v>690</v>
      </c>
      <c r="E650" s="1" t="s">
        <v>2169</v>
      </c>
      <c r="F650" s="3">
        <v>7.69836949E9</v>
      </c>
      <c r="G650" s="1" t="s">
        <v>46</v>
      </c>
      <c r="H650" s="1" t="s">
        <v>152</v>
      </c>
      <c r="I650" s="1" t="s">
        <v>151</v>
      </c>
      <c r="J650" s="1" t="s">
        <v>43</v>
      </c>
    </row>
    <row r="651">
      <c r="A651" s="3">
        <v>90003.0</v>
      </c>
      <c r="B651" s="1" t="s">
        <v>2170</v>
      </c>
      <c r="C651" s="4">
        <v>46140.78634259259</v>
      </c>
      <c r="D651" s="1" t="s">
        <v>694</v>
      </c>
      <c r="E651" s="1" t="s">
        <v>2171</v>
      </c>
      <c r="F651" s="3">
        <v>9.50685677E9</v>
      </c>
      <c r="G651" s="1" t="s">
        <v>46</v>
      </c>
      <c r="H651" s="1" t="s">
        <v>53</v>
      </c>
      <c r="I651" s="1" t="s">
        <v>799</v>
      </c>
      <c r="J651" s="1" t="s">
        <v>43</v>
      </c>
    </row>
    <row r="652">
      <c r="A652" s="3">
        <v>90004.0</v>
      </c>
      <c r="B652" s="1" t="s">
        <v>2172</v>
      </c>
      <c r="C652" s="4">
        <v>46140.8184375</v>
      </c>
      <c r="D652" s="1" t="s">
        <v>690</v>
      </c>
      <c r="E652" s="1" t="s">
        <v>2173</v>
      </c>
      <c r="F652" s="3">
        <v>7.206390972E9</v>
      </c>
      <c r="G652" s="1" t="s">
        <v>46</v>
      </c>
      <c r="H652" s="1" t="s">
        <v>241</v>
      </c>
      <c r="I652" s="1" t="s">
        <v>241</v>
      </c>
      <c r="J652" s="1" t="s">
        <v>468</v>
      </c>
    </row>
    <row r="653">
      <c r="A653" s="3">
        <v>90005.0</v>
      </c>
      <c r="B653" s="1" t="s">
        <v>2174</v>
      </c>
      <c r="C653" s="4">
        <v>46140.82962962963</v>
      </c>
      <c r="D653" s="1" t="s">
        <v>694</v>
      </c>
      <c r="E653" s="1" t="s">
        <v>2175</v>
      </c>
      <c r="F653" s="3">
        <v>9.129137711E9</v>
      </c>
      <c r="G653" s="1" t="s">
        <v>46</v>
      </c>
      <c r="H653" s="1" t="s">
        <v>53</v>
      </c>
      <c r="I653" s="1" t="s">
        <v>110</v>
      </c>
      <c r="J653" s="1" t="s">
        <v>43</v>
      </c>
    </row>
    <row r="654">
      <c r="A654" s="3">
        <v>90006.0</v>
      </c>
      <c r="B654" s="1" t="s">
        <v>2176</v>
      </c>
      <c r="C654" s="4">
        <v>46140.8409837963</v>
      </c>
      <c r="D654" s="1" t="s">
        <v>690</v>
      </c>
      <c r="E654" s="1" t="s">
        <v>2177</v>
      </c>
      <c r="F654" s="3">
        <v>9.844629033E9</v>
      </c>
      <c r="G654" s="1" t="s">
        <v>46</v>
      </c>
      <c r="H654" s="1" t="s">
        <v>746</v>
      </c>
      <c r="I654" s="1" t="s">
        <v>2178</v>
      </c>
      <c r="J654" s="1" t="s">
        <v>133</v>
      </c>
    </row>
    <row r="655">
      <c r="A655" s="3">
        <v>90007.0</v>
      </c>
      <c r="B655" s="1" t="s">
        <v>2179</v>
      </c>
      <c r="C655" s="4">
        <v>46140.85417824074</v>
      </c>
      <c r="D655" s="1" t="s">
        <v>694</v>
      </c>
      <c r="E655" s="1" t="s">
        <v>2180</v>
      </c>
      <c r="F655" s="10">
        <v>1.9453E10</v>
      </c>
      <c r="G655" s="1" t="s">
        <v>294</v>
      </c>
      <c r="H655" s="1" t="s">
        <v>918</v>
      </c>
      <c r="I655" s="1" t="s">
        <v>2181</v>
      </c>
      <c r="J655" s="1" t="s">
        <v>43</v>
      </c>
    </row>
    <row r="656">
      <c r="A656" s="3">
        <v>90008.0</v>
      </c>
      <c r="B656" s="1" t="s">
        <v>2182</v>
      </c>
      <c r="C656" s="4">
        <v>46140.886770833335</v>
      </c>
      <c r="D656" s="1" t="s">
        <v>690</v>
      </c>
      <c r="E656" s="1" t="s">
        <v>2183</v>
      </c>
      <c r="F656" s="3">
        <v>8.310307185E9</v>
      </c>
      <c r="G656" s="1" t="s">
        <v>46</v>
      </c>
      <c r="H656" s="1" t="s">
        <v>152</v>
      </c>
      <c r="I656" s="1" t="s">
        <v>151</v>
      </c>
      <c r="J656" s="1" t="s">
        <v>43</v>
      </c>
    </row>
    <row r="657">
      <c r="A657" s="3">
        <v>90009.0</v>
      </c>
      <c r="B657" s="1" t="s">
        <v>2184</v>
      </c>
      <c r="C657" s="4">
        <v>46140.92652777778</v>
      </c>
      <c r="D657" s="1" t="s">
        <v>694</v>
      </c>
      <c r="E657" s="1" t="s">
        <v>2185</v>
      </c>
      <c r="F657" s="3">
        <v>9.673030711E9</v>
      </c>
      <c r="G657" s="1" t="s">
        <v>46</v>
      </c>
      <c r="H657" s="1" t="s">
        <v>63</v>
      </c>
      <c r="I657" s="1" t="s">
        <v>85</v>
      </c>
      <c r="J657" s="1" t="s">
        <v>43</v>
      </c>
    </row>
    <row r="658">
      <c r="A658" s="3">
        <v>90010.0</v>
      </c>
      <c r="B658" s="1" t="s">
        <v>2186</v>
      </c>
      <c r="C658" s="4">
        <v>46140.9693287037</v>
      </c>
      <c r="D658" s="1" t="s">
        <v>690</v>
      </c>
      <c r="E658" s="1" t="s">
        <v>2187</v>
      </c>
      <c r="F658" s="3">
        <v>8.010416933E9</v>
      </c>
      <c r="G658" s="1" t="s">
        <v>46</v>
      </c>
      <c r="H658" s="1" t="s">
        <v>241</v>
      </c>
      <c r="I658" s="1" t="s">
        <v>275</v>
      </c>
      <c r="J658" s="7"/>
      <c r="K658" s="7"/>
    </row>
    <row r="659">
      <c r="A659" s="3">
        <v>90011.0</v>
      </c>
      <c r="B659" s="1" t="s">
        <v>2188</v>
      </c>
      <c r="C659" s="4">
        <v>46140.969375</v>
      </c>
      <c r="D659" s="1" t="s">
        <v>694</v>
      </c>
      <c r="E659" s="1" t="s">
        <v>2189</v>
      </c>
      <c r="F659" s="3">
        <v>9.322920073E9</v>
      </c>
      <c r="G659" s="1" t="s">
        <v>46</v>
      </c>
      <c r="H659" s="1" t="s">
        <v>63</v>
      </c>
      <c r="I659" s="1" t="s">
        <v>85</v>
      </c>
      <c r="J659" s="1" t="s">
        <v>43</v>
      </c>
    </row>
    <row r="660">
      <c r="A660" s="3">
        <v>90012.0</v>
      </c>
      <c r="B660" s="1" t="s">
        <v>2190</v>
      </c>
      <c r="C660" s="4">
        <v>46141.471134259256</v>
      </c>
      <c r="D660" s="1" t="s">
        <v>694</v>
      </c>
      <c r="E660" s="1" t="s">
        <v>2191</v>
      </c>
      <c r="F660" s="3">
        <v>8.31802605E9</v>
      </c>
      <c r="G660" s="1" t="s">
        <v>46</v>
      </c>
      <c r="H660" s="1" t="s">
        <v>53</v>
      </c>
      <c r="I660" s="1" t="s">
        <v>381</v>
      </c>
      <c r="J660" s="1" t="s">
        <v>43</v>
      </c>
    </row>
    <row r="661">
      <c r="A661" s="3">
        <v>90013.0</v>
      </c>
      <c r="B661" s="1" t="s">
        <v>2192</v>
      </c>
      <c r="C661" s="4">
        <v>46141.538611111115</v>
      </c>
      <c r="D661" s="1" t="s">
        <v>694</v>
      </c>
      <c r="E661" s="1" t="s">
        <v>2193</v>
      </c>
      <c r="F661" s="3">
        <v>9.101901388E9</v>
      </c>
      <c r="G661" s="1" t="s">
        <v>46</v>
      </c>
      <c r="H661" s="1" t="s">
        <v>715</v>
      </c>
      <c r="I661" s="1" t="s">
        <v>716</v>
      </c>
      <c r="J661" s="1" t="s">
        <v>43</v>
      </c>
    </row>
    <row r="662">
      <c r="A662" s="3">
        <v>90014.0</v>
      </c>
      <c r="B662" s="1" t="s">
        <v>2194</v>
      </c>
      <c r="C662" s="4">
        <v>46141.56502314815</v>
      </c>
      <c r="D662" s="1" t="s">
        <v>694</v>
      </c>
      <c r="E662" s="1" t="s">
        <v>2195</v>
      </c>
      <c r="F662" s="10">
        <v>2.5471E11</v>
      </c>
      <c r="G662" s="1" t="s">
        <v>2196</v>
      </c>
      <c r="H662" s="1" t="s">
        <v>2197</v>
      </c>
      <c r="I662" s="1" t="s">
        <v>2197</v>
      </c>
      <c r="J662" s="1" t="s">
        <v>43</v>
      </c>
    </row>
    <row r="663">
      <c r="A663" s="3">
        <v>90015.0</v>
      </c>
      <c r="B663" s="1" t="s">
        <v>2198</v>
      </c>
      <c r="C663" s="4">
        <v>46141.65212962963</v>
      </c>
      <c r="D663" s="1" t="s">
        <v>694</v>
      </c>
      <c r="E663" s="1" t="s">
        <v>2199</v>
      </c>
      <c r="F663" s="3">
        <v>6.284194902E9</v>
      </c>
      <c r="G663" s="1" t="s">
        <v>46</v>
      </c>
      <c r="H663" s="1" t="s">
        <v>241</v>
      </c>
      <c r="I663" s="1" t="s">
        <v>241</v>
      </c>
      <c r="J663" s="1" t="s">
        <v>43</v>
      </c>
    </row>
    <row r="664">
      <c r="A664" s="3">
        <v>90016.0</v>
      </c>
      <c r="B664" s="1" t="s">
        <v>2200</v>
      </c>
      <c r="C664" s="4">
        <v>46141.74905092592</v>
      </c>
      <c r="D664" s="1" t="s">
        <v>694</v>
      </c>
      <c r="E664" s="1" t="s">
        <v>2201</v>
      </c>
      <c r="F664" s="3">
        <v>7.899163527E9</v>
      </c>
      <c r="G664" s="1" t="s">
        <v>46</v>
      </c>
      <c r="H664" s="1" t="s">
        <v>152</v>
      </c>
      <c r="I664" s="1" t="s">
        <v>2202</v>
      </c>
      <c r="J664" s="1" t="s">
        <v>43</v>
      </c>
    </row>
    <row r="665">
      <c r="A665" s="3">
        <v>90017.0</v>
      </c>
      <c r="B665" s="1" t="s">
        <v>2203</v>
      </c>
      <c r="C665" s="4">
        <v>46141.75696759259</v>
      </c>
      <c r="D665" s="1" t="s">
        <v>694</v>
      </c>
      <c r="E665" s="1" t="s">
        <v>2204</v>
      </c>
      <c r="F665" s="3">
        <v>8.149302469E9</v>
      </c>
      <c r="G665" s="1" t="s">
        <v>46</v>
      </c>
      <c r="H665" s="1" t="s">
        <v>63</v>
      </c>
      <c r="I665" s="1" t="s">
        <v>97</v>
      </c>
      <c r="J665" s="1" t="s">
        <v>43</v>
      </c>
    </row>
    <row r="666">
      <c r="A666" s="3">
        <v>90018.0</v>
      </c>
      <c r="B666" s="1" t="s">
        <v>2205</v>
      </c>
      <c r="C666" s="4">
        <v>46141.776504629626</v>
      </c>
      <c r="D666" s="1" t="s">
        <v>694</v>
      </c>
      <c r="E666" s="1" t="s">
        <v>2206</v>
      </c>
      <c r="F666" s="3">
        <v>9.14201007E9</v>
      </c>
      <c r="G666" s="1" t="s">
        <v>46</v>
      </c>
      <c r="H666" s="1" t="s">
        <v>498</v>
      </c>
      <c r="I666" s="1" t="s">
        <v>2207</v>
      </c>
      <c r="K666" s="7"/>
    </row>
    <row r="667">
      <c r="A667" s="3">
        <v>90019.0</v>
      </c>
      <c r="B667" s="1" t="s">
        <v>2208</v>
      </c>
      <c r="C667" s="4">
        <v>46141.78962962963</v>
      </c>
      <c r="D667" s="1" t="s">
        <v>694</v>
      </c>
      <c r="E667" s="1" t="s">
        <v>2209</v>
      </c>
      <c r="F667" s="3">
        <v>9.06362575E9</v>
      </c>
      <c r="G667" s="1" t="s">
        <v>46</v>
      </c>
      <c r="H667" s="1" t="s">
        <v>104</v>
      </c>
      <c r="I667" s="1" t="s">
        <v>103</v>
      </c>
      <c r="J667" s="1" t="s">
        <v>43</v>
      </c>
    </row>
    <row r="668">
      <c r="A668" s="3">
        <v>90020.0</v>
      </c>
      <c r="B668" s="1" t="s">
        <v>2210</v>
      </c>
      <c r="C668" s="4">
        <v>46141.797685185185</v>
      </c>
      <c r="D668" s="1" t="s">
        <v>694</v>
      </c>
      <c r="E668" s="7"/>
      <c r="F668" s="7"/>
      <c r="G668" s="1" t="s">
        <v>46</v>
      </c>
      <c r="H668" s="1" t="s">
        <v>203</v>
      </c>
      <c r="I668" s="1" t="s">
        <v>539</v>
      </c>
      <c r="J668" s="1" t="s">
        <v>43</v>
      </c>
    </row>
    <row r="669">
      <c r="A669" s="3">
        <v>90021.0</v>
      </c>
      <c r="B669" s="1" t="s">
        <v>2211</v>
      </c>
      <c r="C669" s="4">
        <v>46141.868993055556</v>
      </c>
      <c r="D669" s="1" t="s">
        <v>694</v>
      </c>
      <c r="E669" s="1" t="s">
        <v>2212</v>
      </c>
      <c r="F669" s="3">
        <v>8.431582339E9</v>
      </c>
      <c r="G669" s="1" t="s">
        <v>46</v>
      </c>
      <c r="H669" s="1" t="s">
        <v>152</v>
      </c>
      <c r="I669" s="1" t="s">
        <v>2213</v>
      </c>
      <c r="J669" s="1" t="s">
        <v>43</v>
      </c>
    </row>
    <row r="670">
      <c r="A670" s="3">
        <v>90022.0</v>
      </c>
      <c r="B670" s="1" t="s">
        <v>2214</v>
      </c>
      <c r="C670" s="4">
        <v>46141.94179398148</v>
      </c>
      <c r="D670" s="1" t="s">
        <v>694</v>
      </c>
      <c r="E670" s="1" t="s">
        <v>2215</v>
      </c>
      <c r="F670" s="3">
        <v>9.343244839E9</v>
      </c>
      <c r="G670" s="1" t="s">
        <v>46</v>
      </c>
      <c r="H670" s="1" t="s">
        <v>203</v>
      </c>
      <c r="I670" s="1" t="s">
        <v>407</v>
      </c>
      <c r="J670" s="1" t="s">
        <v>43</v>
      </c>
    </row>
    <row r="671">
      <c r="A671" s="3">
        <v>90023.0</v>
      </c>
      <c r="B671" s="1" t="s">
        <v>2216</v>
      </c>
      <c r="C671" s="4">
        <v>46141.96984953704</v>
      </c>
      <c r="D671" s="1" t="s">
        <v>690</v>
      </c>
      <c r="E671" s="1" t="s">
        <v>2217</v>
      </c>
      <c r="F671" s="3">
        <v>9.731788958E9</v>
      </c>
      <c r="G671" s="1" t="s">
        <v>46</v>
      </c>
      <c r="H671" s="1" t="s">
        <v>152</v>
      </c>
      <c r="I671" s="1" t="s">
        <v>2218</v>
      </c>
      <c r="J671" s="1" t="s">
        <v>43</v>
      </c>
    </row>
    <row r="672">
      <c r="A672" s="3">
        <v>90024.0</v>
      </c>
      <c r="B672" s="1" t="s">
        <v>1889</v>
      </c>
      <c r="C672" s="4">
        <v>46141.99994212963</v>
      </c>
      <c r="D672" s="1" t="s">
        <v>690</v>
      </c>
      <c r="E672" s="1" t="s">
        <v>2219</v>
      </c>
      <c r="F672" s="3">
        <v>9.555854551E9</v>
      </c>
      <c r="G672" s="1" t="s">
        <v>46</v>
      </c>
      <c r="H672" s="1" t="s">
        <v>53</v>
      </c>
      <c r="I672" s="1" t="s">
        <v>712</v>
      </c>
      <c r="J672" s="1" t="s">
        <v>43</v>
      </c>
    </row>
    <row r="673">
      <c r="A673" s="3">
        <v>90025.0</v>
      </c>
      <c r="B673" s="1" t="s">
        <v>2220</v>
      </c>
      <c r="C673" s="4">
        <v>46142.016863425924</v>
      </c>
      <c r="D673" s="1" t="s">
        <v>690</v>
      </c>
      <c r="E673" s="1" t="s">
        <v>2221</v>
      </c>
      <c r="F673" s="3">
        <v>6.396635659E9</v>
      </c>
      <c r="G673" s="1" t="s">
        <v>46</v>
      </c>
      <c r="H673" s="1" t="s">
        <v>152</v>
      </c>
      <c r="I673" s="1" t="s">
        <v>151</v>
      </c>
      <c r="J673" s="1" t="s">
        <v>43</v>
      </c>
    </row>
    <row r="674">
      <c r="A674" s="3">
        <v>90026.0</v>
      </c>
      <c r="B674" s="1" t="s">
        <v>2222</v>
      </c>
      <c r="C674" s="4">
        <v>46142.03424768519</v>
      </c>
      <c r="D674" s="1" t="s">
        <v>690</v>
      </c>
      <c r="E674" s="1" t="s">
        <v>2223</v>
      </c>
      <c r="F674" s="3">
        <v>8.765182766E9</v>
      </c>
      <c r="G674" s="1" t="s">
        <v>46</v>
      </c>
      <c r="H674" s="1" t="s">
        <v>45</v>
      </c>
      <c r="I674" s="1" t="s">
        <v>1113</v>
      </c>
      <c r="J674" s="1" t="s">
        <v>43</v>
      </c>
    </row>
    <row r="675">
      <c r="A675" s="3">
        <v>90027.0</v>
      </c>
      <c r="B675" s="1" t="s">
        <v>2224</v>
      </c>
      <c r="C675" s="4">
        <v>46142.37100694444</v>
      </c>
      <c r="D675" s="1" t="s">
        <v>694</v>
      </c>
      <c r="E675" s="1" t="s">
        <v>2225</v>
      </c>
      <c r="F675" s="3">
        <v>9.137859998E9</v>
      </c>
      <c r="G675" s="1" t="s">
        <v>46</v>
      </c>
      <c r="H675" s="1" t="s">
        <v>63</v>
      </c>
      <c r="I675" s="1" t="s">
        <v>1805</v>
      </c>
      <c r="J675" s="1" t="s">
        <v>43</v>
      </c>
    </row>
    <row r="676">
      <c r="A676" s="3">
        <v>90028.0</v>
      </c>
      <c r="B676" s="1" t="s">
        <v>2226</v>
      </c>
      <c r="C676" s="4">
        <v>46142.49915509259</v>
      </c>
      <c r="D676" s="1" t="s">
        <v>694</v>
      </c>
      <c r="E676" s="1" t="s">
        <v>2227</v>
      </c>
      <c r="F676" s="3">
        <v>7.096961048E9</v>
      </c>
      <c r="G676" s="1" t="s">
        <v>46</v>
      </c>
      <c r="H676" s="1" t="s">
        <v>209</v>
      </c>
      <c r="I676" s="1" t="s">
        <v>208</v>
      </c>
      <c r="J676" s="1" t="s">
        <v>43</v>
      </c>
    </row>
  </sheetData>
  <mergeCells count="651"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I472:K472"/>
    <mergeCell ref="J473:K473"/>
    <mergeCell ref="J474:K474"/>
    <mergeCell ref="J475:K475"/>
    <mergeCell ref="J476:K476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2:K512"/>
    <mergeCell ref="J517:K517"/>
    <mergeCell ref="J518:K518"/>
    <mergeCell ref="J519:K519"/>
    <mergeCell ref="C525:D525"/>
    <mergeCell ref="J521:K521"/>
    <mergeCell ref="J526:K526"/>
    <mergeCell ref="J527:K527"/>
    <mergeCell ref="J528:K528"/>
    <mergeCell ref="J529:K529"/>
    <mergeCell ref="J530:K530"/>
    <mergeCell ref="J531:K531"/>
    <mergeCell ref="J539:K539"/>
    <mergeCell ref="C540:D540"/>
    <mergeCell ref="E540:G540"/>
    <mergeCell ref="J532:K532"/>
    <mergeCell ref="J533:K533"/>
    <mergeCell ref="J534:K534"/>
    <mergeCell ref="J535:K535"/>
    <mergeCell ref="J536:K536"/>
    <mergeCell ref="J537:K537"/>
    <mergeCell ref="J538:K538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6:K596"/>
    <mergeCell ref="J597:K597"/>
    <mergeCell ref="J598:K598"/>
    <mergeCell ref="J599:K599"/>
    <mergeCell ref="J600:K600"/>
    <mergeCell ref="J601:K601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2:K552"/>
    <mergeCell ref="J553:K553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6:K586"/>
    <mergeCell ref="J603:K603"/>
    <mergeCell ref="J604:K604"/>
    <mergeCell ref="J605:K605"/>
    <mergeCell ref="J606:K606"/>
    <mergeCell ref="J607:K607"/>
    <mergeCell ref="J608:K608"/>
    <mergeCell ref="J609:K60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9:K659"/>
    <mergeCell ref="J660:K660"/>
    <mergeCell ref="J661:K661"/>
    <mergeCell ref="J662:K662"/>
    <mergeCell ref="J663:K663"/>
    <mergeCell ref="J664:K664"/>
    <mergeCell ref="J674:K674"/>
    <mergeCell ref="J675:K675"/>
    <mergeCell ref="J676:K676"/>
    <mergeCell ref="J667:K667"/>
    <mergeCell ref="J668:K668"/>
    <mergeCell ref="J669:K669"/>
    <mergeCell ref="J670:K670"/>
    <mergeCell ref="J671:K671"/>
    <mergeCell ref="J672:K672"/>
    <mergeCell ref="J673:K673"/>
    <mergeCell ref="J610:K610"/>
    <mergeCell ref="J611:K611"/>
    <mergeCell ref="J612:K612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47:K647"/>
    <mergeCell ref="J648:K648"/>
    <mergeCell ref="C649:D649"/>
    <mergeCell ref="J649:K649"/>
    <mergeCell ref="J640:K640"/>
    <mergeCell ref="J641:K641"/>
    <mergeCell ref="J642:K642"/>
    <mergeCell ref="J643:K643"/>
    <mergeCell ref="J644:K644"/>
    <mergeCell ref="J645:K645"/>
    <mergeCell ref="J646:K646"/>
    <mergeCell ref="J665:K665"/>
    <mergeCell ref="I666:J666"/>
    <mergeCell ref="J2:K2"/>
    <mergeCell ref="J3:K3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4:K44"/>
    <mergeCell ref="J45:K45"/>
    <mergeCell ref="J46:K46"/>
    <mergeCell ref="J62:K62"/>
    <mergeCell ref="C63:D63"/>
    <mergeCell ref="J63:K63"/>
    <mergeCell ref="C101:D101"/>
    <mergeCell ref="J101:K101"/>
    <mergeCell ref="J47:K47"/>
    <mergeCell ref="J48:K48"/>
    <mergeCell ref="J49:K49"/>
    <mergeCell ref="J50:K50"/>
    <mergeCell ref="J51:K51"/>
    <mergeCell ref="J52:K52"/>
    <mergeCell ref="J53:K53"/>
    <mergeCell ref="J55:K55"/>
    <mergeCell ref="J56:K56"/>
    <mergeCell ref="J57:K57"/>
    <mergeCell ref="J58:K58"/>
    <mergeCell ref="J59:K59"/>
    <mergeCell ref="J60:K60"/>
    <mergeCell ref="J61:K61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2:K92"/>
    <mergeCell ref="J93:K93"/>
    <mergeCell ref="J94:K94"/>
    <mergeCell ref="J95:K95"/>
    <mergeCell ref="J96:K96"/>
    <mergeCell ref="J98:K98"/>
    <mergeCell ref="J99:K99"/>
    <mergeCell ref="J100:K100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8:K138"/>
    <mergeCell ref="J139:K139"/>
    <mergeCell ref="C140:D140"/>
    <mergeCell ref="J130:K130"/>
    <mergeCell ref="J131:K131"/>
    <mergeCell ref="J132:K132"/>
    <mergeCell ref="J133:K133"/>
    <mergeCell ref="J134:K134"/>
    <mergeCell ref="J136:K136"/>
    <mergeCell ref="J137:K137"/>
    <mergeCell ref="C155:D155"/>
    <mergeCell ref="E155:G155"/>
    <mergeCell ref="C166:D166"/>
    <mergeCell ref="E166:F166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C233:D233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62:K262"/>
    <mergeCell ref="J263:K263"/>
    <mergeCell ref="C264:D264"/>
    <mergeCell ref="J264:K264"/>
    <mergeCell ref="J255:K255"/>
    <mergeCell ref="J256:K256"/>
    <mergeCell ref="J257:K257"/>
    <mergeCell ref="J258:K258"/>
    <mergeCell ref="J259:K259"/>
    <mergeCell ref="J260:K260"/>
    <mergeCell ref="J261:K261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6:K276"/>
    <mergeCell ref="J277:K277"/>
    <mergeCell ref="J278:K278"/>
    <mergeCell ref="J279:K279"/>
    <mergeCell ref="J280:K280"/>
    <mergeCell ref="J282:K282"/>
    <mergeCell ref="J283:K283"/>
    <mergeCell ref="I284:J284"/>
    <mergeCell ref="J285:K285"/>
    <mergeCell ref="J286:K286"/>
    <mergeCell ref="J287:K287"/>
    <mergeCell ref="J388:K388"/>
    <mergeCell ref="J389:K389"/>
    <mergeCell ref="J390:K390"/>
    <mergeCell ref="J391:K391"/>
    <mergeCell ref="J392:K392"/>
    <mergeCell ref="C393:D393"/>
    <mergeCell ref="J393:K393"/>
    <mergeCell ref="J394:K394"/>
    <mergeCell ref="J395:K395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</mergeCells>
  <drawing r:id="rId1"/>
</worksheet>
</file>